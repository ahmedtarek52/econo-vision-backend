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dsc\Desktop\egypt\"/>
    </mc:Choice>
  </mc:AlternateContent>
  <xr:revisionPtr revIDLastSave="0" documentId="13_ncr:1_{105754D3-1A42-4DBB-B1A5-A14EC3D9F9E3}" xr6:coauthVersionLast="47" xr6:coauthVersionMax="47" xr10:uidLastSave="{00000000-0000-0000-0000-000000000000}"/>
  <bookViews>
    <workbookView minimized="1" xWindow="7704" yWindow="6960" windowWidth="17280" windowHeight="8880" xr2:uid="{D483B111-C4F6-408D-9859-62F0D71AA8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23" i="1" l="1"/>
  <c r="U24" i="1" s="1"/>
  <c r="T23" i="1"/>
  <c r="X11" i="1"/>
  <c r="W11" i="1"/>
  <c r="W14" i="1" s="1"/>
  <c r="X10" i="1"/>
  <c r="V10" i="1"/>
  <c r="V11" i="1" s="1"/>
  <c r="X13" i="1" l="1"/>
  <c r="U25" i="1"/>
  <c r="V12" i="1"/>
  <c r="X12" i="1"/>
  <c r="W13" i="1"/>
  <c r="T24" i="1"/>
  <c r="V13" i="1" l="1"/>
  <c r="T25" i="1"/>
  <c r="U26" i="1"/>
  <c r="T26" i="1" l="1"/>
  <c r="V14" i="1"/>
  <c r="U41" i="1"/>
  <c r="U42" i="1" l="1"/>
  <c r="V15" i="1"/>
  <c r="V16" i="1" s="1"/>
  <c r="T41" i="1"/>
  <c r="T42" i="1" l="1"/>
  <c r="V17" i="1"/>
  <c r="V18" i="1" s="1"/>
  <c r="U43" i="1"/>
  <c r="T43" i="1" l="1"/>
  <c r="T44" i="1" s="1"/>
  <c r="T45" i="1" s="1"/>
  <c r="V19" i="1"/>
  <c r="U44" i="1"/>
  <c r="U45" i="1" l="1"/>
  <c r="U46" i="1" s="1"/>
  <c r="U47" i="1" s="1"/>
  <c r="V20" i="1"/>
  <c r="T46" i="1"/>
  <c r="U48" i="1" l="1"/>
  <c r="T47" i="1"/>
  <c r="V21" i="1"/>
  <c r="V22" i="1" s="1"/>
  <c r="V23" i="1" l="1"/>
  <c r="T48" i="1"/>
  <c r="T49" i="1" s="1"/>
  <c r="V24" i="1" l="1"/>
  <c r="V25" i="1" l="1"/>
  <c r="V26" i="1" s="1"/>
</calcChain>
</file>

<file path=xl/sharedStrings.xml><?xml version="1.0" encoding="utf-8"?>
<sst xmlns="http://schemas.openxmlformats.org/spreadsheetml/2006/main" count="81" uniqueCount="73">
  <si>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</si>
  <si>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</si>
  <si>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</si>
  <si>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</si>
  <si>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</si>
  <si>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</si>
  <si>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</si>
  <si>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</si>
  <si>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</si>
  <si>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</si>
  <si>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</si>
  <si>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</si>
  <si>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</si>
  <si>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</si>
  <si>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</si>
  <si>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</si>
  <si>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</si>
  <si>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</si>
  <si>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</si>
  <si>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</si>
  <si>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</si>
  <si>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</si>
  <si>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</si>
  <si>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</si>
  <si>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</si>
  <si>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</si>
  <si>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</si>
  <si>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</si>
  <si>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</si>
  <si>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</si>
  <si>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</si>
  <si>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</si>
  <si>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</si>
  <si>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</si>
  <si>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</si>
  <si>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</si>
  <si>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</si>
  <si>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</si>
  <si>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</si>
  <si>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</si>
  <si>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</si>
  <si>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</si>
  <si>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</si>
  <si>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</si>
  <si>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</si>
  <si>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</si>
  <si>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</si>
  <si>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</si>
  <si>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Inflation, consumer prices (annual %)</t>
  </si>
  <si>
    <t>Lending interest rate (%)</t>
  </si>
  <si>
    <t>Official exchange rate (LCU per US$, period average)</t>
  </si>
  <si>
    <t>Net foreign assets (current LCU)</t>
  </si>
  <si>
    <t>Total reserves in months of imports</t>
  </si>
  <si>
    <t>Domestic credit to private sector (% of GDP)</t>
  </si>
  <si>
    <t>year</t>
  </si>
  <si>
    <t>Growth
Net foreign assets</t>
  </si>
  <si>
    <t>Broad money (% of GDP)</t>
  </si>
  <si>
    <t>Current account balance (BoP, current US$)</t>
  </si>
  <si>
    <t>Debt service on external debt, total (TDS, current US$)</t>
  </si>
  <si>
    <t>External balance on goods and services (% of GDP)</t>
  </si>
  <si>
    <t>External debt stocks (% of GNI)</t>
  </si>
  <si>
    <t>Foreign direct investment, net (BoP, current US$)</t>
  </si>
  <si>
    <t>GDP growth (annual %)</t>
  </si>
  <si>
    <t>Industry (including construction), value added (current US$)</t>
  </si>
  <si>
    <t>Manufacturing, value added (% of GDP)</t>
  </si>
  <si>
    <t>Net financial account (BoP, current US$)</t>
  </si>
  <si>
    <t>Net investment in nonfinancial assets (current LCU)</t>
  </si>
  <si>
    <t>Net lending (+) / net borrowing (-) (current LCU)</t>
  </si>
  <si>
    <t>Political Stability and Absence of Violence/Terrorism: Estimate</t>
  </si>
  <si>
    <t>Portfolio investment, net (BoP, current US$)</t>
  </si>
  <si>
    <t>Unemployment, total (% of total labor force) (national estimate)</t>
  </si>
  <si>
    <t>..</t>
  </si>
  <si>
    <t>Crisis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</si>
</sst>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.000"/>
    <numFmt numFmtId="165" formatCode="0.0"/>
    <numFmt numFmtId="166" formatCode="_-* #,##0.0_-;\-* #,##0.0_-;_-* &quot;-&quot;??_-;_-@_-"/>
    <numFmt numFmtId="167" formatCode="_-* #,##0_-;\-* #,##0_-;_-* &quot;-&quot;??_-;_-@_-"/>
    <numFmt numFmtId="168" formatCode="[$-F800]dddd\,\ mmmm\ dd\,\ yyyy"/>
  </numFmts>
  <fonts count="3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2"/>
    <xf numFmtId="0" fontId="2" fillId="0" borderId="0" xfId="2" applyAlignment="1">
      <alignment horizontal="center" vertical="center" wrapText="1"/>
    </xf>
    <xf numFmtId="0" fontId="2" fillId="0" borderId="0" xfId="2" applyAlignment="1">
      <alignment horizontal="center" vertical="center"/>
    </xf>
    <xf numFmtId="164" fontId="2" fillId="0" borderId="0" xfId="2" applyNumberFormat="1" applyAlignment="1">
      <alignment horizontal="center" vertical="center" wrapText="1"/>
    </xf>
    <xf numFmtId="2" fontId="2" fillId="0" borderId="0" xfId="2" applyNumberFormat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168" fontId="0" fillId="0" borderId="0" xfId="0" applyNumberFormat="1"/>
    <xf numFmtId="168" fontId="0" fillId="0" borderId="0" xfId="0" applyNumberFormat="1" applyAlignment="1">
      <alignment horizontal="center" vertical="center" wrapText="1"/>
    </xf>
    <xf numFmtId="168" fontId="2" fillId="0" borderId="0" xfId="2" applyNumberFormat="1"/>
    <xf numFmtId="2" fontId="2" fillId="0" borderId="0" xfId="2" applyNumberFormat="1" applyFill="1" applyAlignment="1">
      <alignment horizontal="center" vertical="center" wrapText="1"/>
    </xf>
    <xf numFmtId="0" fontId="2" fillId="0" borderId="0" xfId="2" applyFill="1" applyAlignment="1">
      <alignment horizontal="center" vertical="center" wrapText="1"/>
    </xf>
    <xf numFmtId="167" fontId="2" fillId="0" borderId="1" xfId="1" applyNumberFormat="1" applyFont="1" applyBorder="1" applyAlignment="1">
      <alignment horizontal="center" vertical="center" wrapText="1"/>
    </xf>
    <xf numFmtId="167" fontId="2" fillId="0" borderId="2" xfId="1" applyNumberFormat="1" applyFont="1" applyBorder="1" applyAlignment="1">
      <alignment horizontal="center" vertical="center" wrapText="1"/>
    </xf>
    <xf numFmtId="165" fontId="2" fillId="0" borderId="0" xfId="2" applyNumberForma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166" fontId="0" fillId="0" borderId="0" xfId="1" applyNumberFormat="1" applyFont="1"/>
  </cellXfs>
  <cellStyles count="3">
    <cellStyle name="Comma" xfId="1" builtinId="3"/>
    <cellStyle name="Normal" xfId="0" builtinId="0"/>
    <cellStyle name="Normal 2" xfId="2" xr:uid="{2A360068-8AFF-4FCA-B42B-B7D19B92478D}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66" formatCode="_-* #,##0.0_-;\-* #,##0.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66" formatCode="_-* #,##0.0_-;\-* #,##0.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66" formatCode="_-* #,##0.0_-;\-* #,##0.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66" formatCode="_-* #,##0.0_-;\-* #,##0.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66" formatCode="_-* #,##0.0_-;\-* #,##0.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66" formatCode="_-* #,##0.0_-;\-* #,##0.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66" formatCode="_-* #,##0.0_-;\-* #,##0.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66" formatCode="_-* #,##0.0_-;\-* #,##0.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66" formatCode="_-* #,##0.0_-;\-* #,##0.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66" formatCode="_-* #,##0.0_-;\-* #,##0.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66" formatCode="_-* #,##0.0_-;\-* #,##0.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66" formatCode="_-* #,##0.0_-;\-* #,##0.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66" formatCode="_-* #,##0.0_-;\-* #,##0.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66" formatCode="_-* #,##0.0_-;\-* #,##0.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66" formatCode="_-* #,##0.0_-;\-* #,##0.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66" formatCode="_-* #,##0.0_-;\-* #,##0.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66" formatCode="_-* #,##0.0_-;\-* #,##0.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alignment horizontal="general" vertical="center" textRotation="0" wrapText="1" indent="0" justifyLastLine="0" shrinkToFit="0" readingOrder="0"/>
    </dxf>
    <dxf>
      <numFmt numFmtId="2" formatCode="0.00"/>
      <alignment horizontal="center" vertical="center" textRotation="0" wrapText="1" indent="0" justifyLastLine="0" shrinkToFit="0" readingOrder="0"/>
    </dxf>
    <dxf>
      <numFmt numFmtId="2" formatCode="0.00"/>
      <alignment horizontal="center" vertical="center" textRotation="0" wrapText="1" indent="0" justifyLastLine="0" shrinkToFit="0" readingOrder="0"/>
    </dxf>
    <dxf>
      <numFmt numFmtId="2" formatCode="0.00"/>
      <alignment horizontal="center" vertical="center" textRotation="0" wrapText="1" indent="0" justifyLastLine="0" shrinkToFit="0" readingOrder="0"/>
    </dxf>
    <dxf>
      <numFmt numFmtId="2" formatCode="0.00"/>
      <alignment horizontal="center" vertical="center" textRotation="0" wrapText="1" indent="0" justifyLastLine="0" shrinkToFit="0" readingOrder="0"/>
    </dxf>
    <dxf>
      <numFmt numFmtId="165" formatCode="0.0"/>
      <alignment horizontal="center" vertical="center" textRotation="0" wrapText="1" indent="0" justifyLastLine="0" shrinkToFit="0" readingOrder="0"/>
    </dxf>
    <dxf>
      <numFmt numFmtId="164" formatCode="0.000"/>
      <alignment horizontal="center" vertical="center" textRotation="0" wrapText="1" indent="0" justifyLastLine="0" shrinkToFit="0" readingOrder="0"/>
    </dxf>
    <dxf>
      <numFmt numFmtId="168" formatCode="[$-F800]dddd\,\ mmmm\ dd\,\ yy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9A7A42-5777-44C0-810F-EDD7C79F890E}" name="Table1" displayName="Table1" ref="A1:G49" totalsRowShown="0" headerRowDxfId="27" dataDxfId="26" headerRowCellStyle="Normal 2" dataCellStyle="Normal 2">
  <autoFilter ref="A1:G49" xr:uid="{7A9A7A42-5777-44C0-810F-EDD7C79F890E}"/>
  <tableColumns count="7">
    <tableColumn id="1" xr3:uid="{CF93DD8E-2BF0-43E7-A44B-D468182311A1}" name="year" dataDxfId="25"/>
    <tableColumn id="3" xr3:uid="{C2909F2A-EA75-40F8-82EB-DD5415E94698}" name="Inflation, consumer prices (annual %)" dataDxfId="24" dataCellStyle="Normal 2"/>
    <tableColumn id="4" xr3:uid="{0BBF230F-E88A-4233-8D0E-5CAD756446A8}" name="Lending interest rate (%)" dataDxfId="23"/>
    <tableColumn id="5" xr3:uid="{757DA9C7-25E7-4CA5-8F7D-6C2C20BB5DF6}" name="Official exchange rate (LCU per US$, period average)" dataDxfId="22" dataCellStyle="Normal 2"/>
    <tableColumn id="7" xr3:uid="{7A18ADD1-7AE4-4478-A533-A23E9945F162}" name="Total reserves in months of imports" dataDxfId="21" dataCellStyle="Normal 2"/>
    <tableColumn id="8" xr3:uid="{B6B96620-42A0-42C7-B843-B18A49C3C0E6}" name="Domestic credit to private sector (% of GDP)" dataDxfId="20" dataCellStyle="Normal 2"/>
    <tableColumn id="10" xr3:uid="{0E87766A-F92D-4884-B78B-C9731AFD67EF}" name="Growth_x000a_Net foreign assets" dataDxfId="19" dataCellStyle="Normal 2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2F36F3F-2BCB-4AD9-A09B-09E137EEC5FA}" name="Table13" displayName="Table13" ref="H1:X49" totalsRowShown="0" headerRowDxfId="18" dataDxfId="17" dataCellStyle="Comma">
  <autoFilter ref="H1:X49" xr:uid="{D2F36F3F-2BCB-4AD9-A09B-09E137EEC5FA}"/>
  <tableColumns count="17">
    <tableColumn id="2" xr3:uid="{9505CD66-6913-4343-9D63-21603FF40086}" name="Broad money (% of GDP)" dataDxfId="16" dataCellStyle="Comma"/>
    <tableColumn id="4" xr3:uid="{2B83AAC5-F35B-4405-8324-49BCA220FF88}" name="Current account balance (BoP, current US$)" dataDxfId="15" dataCellStyle="Comma"/>
    <tableColumn id="6" xr3:uid="{DC7A7332-1EAA-41C4-8621-685FD02D5720}" name="Debt service on external debt, total (TDS, current US$)" dataDxfId="14" dataCellStyle="Comma"/>
    <tableColumn id="9" xr3:uid="{4F967617-887E-49F6-A8B7-53CE51F12C7D}" name="External balance on goods and services (% of GDP)" dataDxfId="13" dataCellStyle="Comma"/>
    <tableColumn id="10" xr3:uid="{A335214A-9A71-4696-960F-BDC23431492B}" name="External debt stocks (% of GNI)" dataDxfId="12" dataCellStyle="Comma"/>
    <tableColumn id="12" xr3:uid="{7A8243CB-709C-44AB-9482-2FA6FDED0106}" name="Foreign direct investment, net (BoP, current US$)" dataDxfId="11" dataCellStyle="Comma"/>
    <tableColumn id="15" xr3:uid="{8FD86F58-DC42-4994-9364-FBE50145DE8C}" name="GDP growth (annual %)" dataDxfId="10" dataCellStyle="Comma"/>
    <tableColumn id="18" xr3:uid="{C340C13C-3D6C-4CAD-84D6-741E43CE4CBD}" name="Industry (including construction), value added (current US$)" dataDxfId="9" dataCellStyle="Comma"/>
    <tableColumn id="19" xr3:uid="{AAED064D-8FFC-40E4-A9F5-8EC2B6812742}" name="Inflation, consumer prices (annual %)" dataDxfId="8" dataCellStyle="Comma"/>
    <tableColumn id="22" xr3:uid="{5B9C95DD-EB79-4FDF-8704-C16DB885022F}" name="Manufacturing, value added (% of GDP)" dataDxfId="7" dataCellStyle="Comma"/>
    <tableColumn id="23" xr3:uid="{D74098A2-5EF6-422F-80E8-989FD57D9CBF}" name="Net financial account (BoP, current US$)" dataDxfId="6" dataCellStyle="Comma"/>
    <tableColumn id="24" xr3:uid="{BCAF7044-FB35-46F1-B6B9-6BD5D1C4A05B}" name="Net foreign assets (current LCU)" dataDxfId="5" dataCellStyle="Comma"/>
    <tableColumn id="27" xr3:uid="{E94BC198-8474-49DD-B5CD-7CC48E55AD12}" name="Net investment in nonfinancial assets (current LCU)" dataDxfId="4" dataCellStyle="Comma"/>
    <tableColumn id="28" xr3:uid="{88CF796F-E038-44D1-B1CA-B13F05B7C8F3}" name="Net lending (+) / net borrowing (-) (current LCU)" dataDxfId="3" dataCellStyle="Comma"/>
    <tableColumn id="30" xr3:uid="{B2A03826-C170-4966-AA7C-BB9F7F95732A}" name="Political Stability and Absence of Violence/Terrorism: Estimate" dataDxfId="2" dataCellStyle="Comma"/>
    <tableColumn id="31" xr3:uid="{EE1D80CD-20C4-4EB9-9034-699C9A8ED7E9}" name="Portfolio investment, net (BoP, current US$)" dataDxfId="1" dataCellStyle="Comma"/>
    <tableColumn id="32" xr3:uid="{035A6494-90EC-4C00-BF25-DFDA8591A3FC}" name="Unemployment, total (% of total labor force) (national estimate)" dataDxfId="0" dataCellStyle="Comm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38700-5743-48A9-8111-736A389295C4}">
  <dimension ref="A1:BG135"/>
  <sheetViews>
    <sheetView tabSelected="1" workbookViewId="0">
      <selection activeCell="R20" sqref="R20"/>
    </sheetView>
  </sheetViews>
  <sheetFormatPr defaultRowHeight="13.8" x14ac:dyDescent="0.25"/>
  <cols>
    <col min="1" max="1" width="44.69921875" style="9" bestFit="1" customWidth="1"/>
    <col min="2" max="2" width="32.09765625" customWidth="1"/>
    <col min="3" max="3" width="22.296875" customWidth="1"/>
    <col min="4" max="4" width="45.296875" customWidth="1"/>
    <col min="5" max="5" width="30.59765625" customWidth="1"/>
    <col min="6" max="6" width="37.8984375" style="1" customWidth="1"/>
    <col min="9" max="9" width="16.19921875" bestFit="1" customWidth="1"/>
    <col min="10" max="10" width="17" customWidth="1"/>
    <col min="11" max="11" width="18.796875" customWidth="1"/>
    <col min="13" max="13" width="23" customWidth="1"/>
    <col min="18" max="18" width="13.8984375" customWidth="1"/>
    <col min="20" max="20" width="17.19921875" customWidth="1"/>
    <col min="22" max="22" width="20.5" customWidth="1"/>
    <col min="23" max="23" width="18" customWidth="1"/>
  </cols>
  <sheetData>
    <row r="1" spans="1:25" ht="138" x14ac:dyDescent="0.25">
      <c r="A1" s="10" t="s">
        <v>54</v>
      </c>
      <c r="B1" s="4" t="s">
        <v>48</v>
      </c>
      <c r="C1" s="2" t="s">
        <v>49</v>
      </c>
      <c r="D1" s="4" t="s">
        <v>50</v>
      </c>
      <c r="E1" s="4" t="s">
        <v>52</v>
      </c>
      <c r="F1" s="4" t="s">
        <v>53</v>
      </c>
      <c r="G1" s="13" t="s">
        <v>55</v>
      </c>
      <c r="H1" s="17" t="s">
        <v>56</v>
      </c>
      <c r="I1" s="17" t="s">
        <v>57</v>
      </c>
      <c r="J1" s="17" t="s">
        <v>58</v>
      </c>
      <c r="K1" s="17" t="s">
        <v>59</v>
      </c>
      <c r="L1" s="17" t="s">
        <v>60</v>
      </c>
      <c r="M1" s="17" t="s">
        <v>61</v>
      </c>
      <c r="N1" s="17" t="s">
        <v>62</v>
      </c>
      <c r="O1" s="17" t="s">
        <v>63</v>
      </c>
      <c r="P1" s="17" t="s">
        <v>48</v>
      </c>
      <c r="Q1" s="17" t="s">
        <v>64</v>
      </c>
      <c r="R1" s="17" t="s">
        <v>65</v>
      </c>
      <c r="S1" s="17" t="s">
        <v>51</v>
      </c>
      <c r="T1" s="17" t="s">
        <v>66</v>
      </c>
      <c r="U1" s="17" t="s">
        <v>67</v>
      </c>
      <c r="V1" s="17" t="s">
        <v>68</v>
      </c>
      <c r="W1" s="17" t="s">
        <v>69</v>
      </c>
      <c r="X1" s="17" t="s">
        <v>70</v>
      </c>
      <c r="Y1" s="13" t="s">
        <v>72</v>
      </c>
    </row>
    <row r="2" spans="1:25" x14ac:dyDescent="0.25">
      <c r="A2" s="10" t="s">
        <v>0</v>
      </c>
      <c r="B2" s="6">
        <v>12.732162792989101</v>
      </c>
      <c r="C2" s="8">
        <v>8.8333333333333304</v>
      </c>
      <c r="D2" s="7">
        <v>0.39130366745108802</v>
      </c>
      <c r="E2" s="7">
        <v>1.7207415807017721</v>
      </c>
      <c r="F2" s="7">
        <v>18.717645769132389</v>
      </c>
      <c r="G2" s="16">
        <v>-28.51028285886839</v>
      </c>
      <c r="H2" s="18">
        <v>49.973812104897746</v>
      </c>
      <c r="I2" s="18">
        <v>-813431979.69212794</v>
      </c>
      <c r="J2" s="18">
        <v>498210026.80000001</v>
      </c>
      <c r="K2" s="18">
        <v>-9.7796562686512623</v>
      </c>
      <c r="L2" s="18">
        <v>83.956167471712362</v>
      </c>
      <c r="M2" s="18">
        <v>-97622059.768268093</v>
      </c>
      <c r="N2" s="18">
        <v>9.0030442667503223</v>
      </c>
      <c r="O2" s="18">
        <v>3557270654.2711802</v>
      </c>
      <c r="P2" s="18">
        <v>12.732162792989101</v>
      </c>
      <c r="Q2" s="18">
        <v>13.642066285825649</v>
      </c>
      <c r="R2" s="18">
        <v>-751843193.29383135</v>
      </c>
      <c r="S2" s="18">
        <v>-659662853.91845894</v>
      </c>
      <c r="T2" s="18">
        <v>280000000</v>
      </c>
      <c r="U2" s="18">
        <v>-463000000</v>
      </c>
      <c r="V2" s="18">
        <v>-0.414172112941742</v>
      </c>
      <c r="W2" s="18">
        <v>-6133323.1268021697</v>
      </c>
      <c r="X2" s="18">
        <v>3.13</v>
      </c>
      <c r="Y2" s="12">
        <v>0</v>
      </c>
    </row>
    <row r="3" spans="1:25" x14ac:dyDescent="0.25">
      <c r="A3" s="10" t="s">
        <v>1</v>
      </c>
      <c r="B3" s="6">
        <v>11.078100382614</v>
      </c>
      <c r="C3" s="8">
        <v>10.1666666666667</v>
      </c>
      <c r="D3" s="7">
        <v>0.39130366745108802</v>
      </c>
      <c r="E3" s="7">
        <v>1.8808562000549183</v>
      </c>
      <c r="F3" s="7">
        <v>18.320743515732154</v>
      </c>
      <c r="G3" s="16">
        <v>221.24723461655131</v>
      </c>
      <c r="H3" s="18">
        <v>53.345001944768576</v>
      </c>
      <c r="I3" s="18">
        <v>-924087351.10485601</v>
      </c>
      <c r="J3" s="18">
        <v>583016384.39999998</v>
      </c>
      <c r="K3" s="18">
        <v>-14.033040594485048</v>
      </c>
      <c r="L3" s="18">
        <v>90.876352207199631</v>
      </c>
      <c r="M3" s="18">
        <v>-298488392.17103899</v>
      </c>
      <c r="N3" s="18">
        <v>8.6287676449318838</v>
      </c>
      <c r="O3" s="18">
        <v>3875985445.7246819</v>
      </c>
      <c r="P3" s="18">
        <v>11.078100382614</v>
      </c>
      <c r="Q3" s="18">
        <v>13.500789166615487</v>
      </c>
      <c r="R3" s="18">
        <v>-909776263.80898857</v>
      </c>
      <c r="S3" s="18">
        <v>-2119148676.0056701</v>
      </c>
      <c r="T3" s="18">
        <v>451000000</v>
      </c>
      <c r="U3" s="18">
        <v>-331000000</v>
      </c>
      <c r="V3" s="18">
        <v>-0.640924513339996</v>
      </c>
      <c r="W3" s="18">
        <v>-4344437.2148182001</v>
      </c>
      <c r="X3" s="18">
        <v>3.64</v>
      </c>
      <c r="Y3" s="12">
        <v>0</v>
      </c>
    </row>
    <row r="4" spans="1:25" x14ac:dyDescent="0.25">
      <c r="A4" s="10" t="s">
        <v>2</v>
      </c>
      <c r="B4" s="6">
        <v>9.9043605123112908</v>
      </c>
      <c r="C4" s="8">
        <v>12</v>
      </c>
      <c r="D4" s="7">
        <v>0.70000070049070096</v>
      </c>
      <c r="E4" s="7">
        <v>2.6285692805759719</v>
      </c>
      <c r="F4" s="7">
        <v>18.995750887874173</v>
      </c>
      <c r="G4" s="16">
        <v>1.3737881376517431</v>
      </c>
      <c r="H4" s="18">
        <v>54.25783231861999</v>
      </c>
      <c r="I4" s="18">
        <v>-1506714287.86674</v>
      </c>
      <c r="J4" s="18">
        <v>518518468.30000001</v>
      </c>
      <c r="K4" s="18">
        <v>-16.478786149162861</v>
      </c>
      <c r="L4" s="18">
        <v>87.931937836020396</v>
      </c>
      <c r="M4" s="18">
        <v>-1211142858.87307</v>
      </c>
      <c r="N4" s="18">
        <v>4.5476896283971797</v>
      </c>
      <c r="O4" s="18">
        <v>6258428571.4285717</v>
      </c>
      <c r="P4" s="18">
        <v>9.9043605123112908</v>
      </c>
      <c r="Q4" s="18">
        <v>13.080289193302891</v>
      </c>
      <c r="R4" s="18">
        <v>-1507714287.8681719</v>
      </c>
      <c r="S4" s="18">
        <v>-2148261289.1358399</v>
      </c>
      <c r="T4" s="18">
        <v>354000000</v>
      </c>
      <c r="U4" s="18">
        <v>-904000000</v>
      </c>
      <c r="V4" s="18">
        <v>-0.82240170240402199</v>
      </c>
      <c r="W4" s="18">
        <v>-3285714.2904081601</v>
      </c>
      <c r="X4" s="18">
        <v>4.55</v>
      </c>
      <c r="Y4" s="12">
        <v>0</v>
      </c>
    </row>
    <row r="5" spans="1:25" x14ac:dyDescent="0.25">
      <c r="A5" s="10" t="s">
        <v>3</v>
      </c>
      <c r="B5" s="6">
        <v>20.8192249324218</v>
      </c>
      <c r="C5" s="8">
        <v>13.3333333333333</v>
      </c>
      <c r="D5" s="7">
        <v>0.70000070049070096</v>
      </c>
      <c r="E5" s="7">
        <v>3.0532362314961725</v>
      </c>
      <c r="F5" s="7">
        <v>13.936376543074298</v>
      </c>
      <c r="G5" s="16">
        <v>-42.561403000511099</v>
      </c>
      <c r="H5" s="18">
        <v>66.423395852559224</v>
      </c>
      <c r="I5" s="18">
        <v>-436428571.57345998</v>
      </c>
      <c r="J5" s="18">
        <v>1235186590.4000001</v>
      </c>
      <c r="K5" s="18">
        <v>-12.353760988322323</v>
      </c>
      <c r="L5" s="18">
        <v>94.658824274478548</v>
      </c>
      <c r="M5" s="18">
        <v>-541285715.06897998</v>
      </c>
      <c r="N5" s="18">
        <v>10.011329037990691</v>
      </c>
      <c r="O5" s="18">
        <v>7235291584.7222223</v>
      </c>
      <c r="P5" s="18">
        <v>20.8192249324218</v>
      </c>
      <c r="Q5" s="18">
        <v>12.357125632380079</v>
      </c>
      <c r="R5" s="18">
        <v>-409571429.16653109</v>
      </c>
      <c r="S5" s="18">
        <v>-1233931144.3627601</v>
      </c>
      <c r="T5" s="18" t="s">
        <v>71</v>
      </c>
      <c r="U5" s="18" t="s">
        <v>71</v>
      </c>
      <c r="V5" s="18">
        <v>-0.62935864925384499</v>
      </c>
      <c r="W5" s="18">
        <v>-5142857.1502040802</v>
      </c>
      <c r="X5" s="18">
        <v>5.18</v>
      </c>
      <c r="Y5" s="12">
        <v>1</v>
      </c>
    </row>
    <row r="6" spans="1:25" x14ac:dyDescent="0.25">
      <c r="A6" s="10" t="s">
        <v>4</v>
      </c>
      <c r="B6" s="6">
        <v>10.3172842245396</v>
      </c>
      <c r="C6" s="8">
        <v>15</v>
      </c>
      <c r="D6" s="7">
        <v>0.70000070049070096</v>
      </c>
      <c r="E6" s="7">
        <v>1.7867678656527599</v>
      </c>
      <c r="F6" s="7">
        <v>25.895108267656447</v>
      </c>
      <c r="G6" s="16">
        <v>-1.8266996050521598</v>
      </c>
      <c r="H6" s="18">
        <v>82.815142210039866</v>
      </c>
      <c r="I6" s="18">
        <v>-2134857145.03266</v>
      </c>
      <c r="J6" s="18">
        <v>1551397107.5</v>
      </c>
      <c r="K6" s="18">
        <v>-12.536704780625982</v>
      </c>
      <c r="L6" s="18">
        <v>107.84900472161114</v>
      </c>
      <c r="M6" s="18">
        <v>-746571429.64653099</v>
      </c>
      <c r="N6" s="18">
        <v>7.3485538963285961</v>
      </c>
      <c r="O6" s="18">
        <v>6924459459.4594593</v>
      </c>
      <c r="P6" s="18">
        <v>10.3172842245396</v>
      </c>
      <c r="Q6" s="18">
        <v>12.739382321878798</v>
      </c>
      <c r="R6" s="18">
        <v>-2031571431.4822431</v>
      </c>
      <c r="S6" s="18">
        <v>-1211390929.0220699</v>
      </c>
      <c r="T6" s="18">
        <v>689000000</v>
      </c>
      <c r="U6" s="18">
        <v>189000000</v>
      </c>
      <c r="V6" s="18">
        <v>-0.83780765533447299</v>
      </c>
      <c r="W6" s="18">
        <v>-7000000.0099999998</v>
      </c>
      <c r="X6" s="18">
        <v>4.97</v>
      </c>
      <c r="Y6" s="12">
        <v>1</v>
      </c>
    </row>
    <row r="7" spans="1:25" x14ac:dyDescent="0.25">
      <c r="A7" s="10" t="s">
        <v>5</v>
      </c>
      <c r="B7" s="6">
        <v>14.8230088495577</v>
      </c>
      <c r="C7" s="8">
        <v>15</v>
      </c>
      <c r="D7" s="7">
        <v>0.70000070049070096</v>
      </c>
      <c r="E7" s="7">
        <v>1.879410715342771</v>
      </c>
      <c r="F7" s="7">
        <v>24.708763804773781</v>
      </c>
      <c r="G7" s="16">
        <v>-61.933257803063448</v>
      </c>
      <c r="H7" s="18">
        <v>79.22915924474529</v>
      </c>
      <c r="I7" s="18">
        <v>-1850714287.4767399</v>
      </c>
      <c r="J7" s="18">
        <v>1714208248.3</v>
      </c>
      <c r="K7" s="18">
        <v>-11.535447096544349</v>
      </c>
      <c r="L7" s="18">
        <v>105.61417564888474</v>
      </c>
      <c r="M7" s="18">
        <v>-285571428.990816</v>
      </c>
      <c r="N7" s="18">
        <v>9.9071711339782524</v>
      </c>
      <c r="O7" s="18">
        <v>8309113300.49261</v>
      </c>
      <c r="P7" s="18">
        <v>14.8230088495577</v>
      </c>
      <c r="Q7" s="18">
        <v>12.183826148913431</v>
      </c>
      <c r="R7" s="18">
        <v>-1721285716.756124</v>
      </c>
      <c r="S7" s="18">
        <v>-461137061.94790596</v>
      </c>
      <c r="T7" s="18">
        <v>582000000</v>
      </c>
      <c r="U7" s="18">
        <v>-1878000000</v>
      </c>
      <c r="V7" s="18">
        <v>-0.552382111549377</v>
      </c>
      <c r="W7" s="18">
        <v>-142857.14306122501</v>
      </c>
      <c r="X7" s="18">
        <v>5.21</v>
      </c>
      <c r="Y7" s="12">
        <v>0</v>
      </c>
    </row>
    <row r="8" spans="1:25" x14ac:dyDescent="0.25">
      <c r="A8" s="10" t="s">
        <v>6</v>
      </c>
      <c r="B8" s="6">
        <v>16.079873883342</v>
      </c>
      <c r="C8" s="8">
        <v>15</v>
      </c>
      <c r="D8" s="7">
        <v>0.70000070049070096</v>
      </c>
      <c r="E8" s="7">
        <v>1.6851058486384329</v>
      </c>
      <c r="F8" s="7">
        <v>25.84812030075188</v>
      </c>
      <c r="G8" s="16">
        <v>-244.85004363544527</v>
      </c>
      <c r="H8" s="18">
        <v>82.019548872180451</v>
      </c>
      <c r="I8" s="18">
        <v>-329571427.94082499</v>
      </c>
      <c r="J8" s="18">
        <v>2079154738</v>
      </c>
      <c r="K8" s="18">
        <v>-11.278195488721805</v>
      </c>
      <c r="L8" s="18">
        <v>103.86758559360491</v>
      </c>
      <c r="M8" s="18">
        <v>-471000000.69999999</v>
      </c>
      <c r="N8" s="18">
        <v>5.0944068404804597</v>
      </c>
      <c r="O8" s="18">
        <v>8852153667.0547142</v>
      </c>
      <c r="P8" s="18">
        <v>16.079873883342</v>
      </c>
      <c r="Q8" s="18">
        <v>12.278195488721805</v>
      </c>
      <c r="R8" s="18">
        <v>-187857143.15265709</v>
      </c>
      <c r="S8" s="18">
        <v>667957235.45075202</v>
      </c>
      <c r="T8" s="18">
        <v>776000000</v>
      </c>
      <c r="U8" s="18">
        <v>-118000000</v>
      </c>
      <c r="V8" s="18">
        <v>-0.51043170690536499</v>
      </c>
      <c r="W8" s="18">
        <v>-6428571.4377551004</v>
      </c>
      <c r="X8" s="18">
        <v>6.47</v>
      </c>
      <c r="Y8" s="12">
        <v>0</v>
      </c>
    </row>
    <row r="9" spans="1:25" x14ac:dyDescent="0.25">
      <c r="A9" s="10" t="s">
        <v>7</v>
      </c>
      <c r="B9" s="6">
        <v>17.0363663799608</v>
      </c>
      <c r="C9" s="8">
        <v>15</v>
      </c>
      <c r="D9" s="7">
        <v>0.70000070020486704</v>
      </c>
      <c r="E9" s="7">
        <v>1.2497825426127391</v>
      </c>
      <c r="F9" s="7">
        <v>26.215822784810129</v>
      </c>
      <c r="G9" s="16">
        <v>-77.591182115919921</v>
      </c>
      <c r="H9" s="18">
        <v>82.054746835443041</v>
      </c>
      <c r="I9" s="18">
        <v>-1886714286.4396701</v>
      </c>
      <c r="J9" s="18">
        <v>2421450078.0999999</v>
      </c>
      <c r="K9" s="18">
        <v>-11.39240506329114</v>
      </c>
      <c r="L9" s="18">
        <v>100.87519322843093</v>
      </c>
      <c r="M9" s="18">
        <v>-713142857.57687104</v>
      </c>
      <c r="N9" s="18">
        <v>9.7457627117125867</v>
      </c>
      <c r="O9" s="18">
        <v>9772092023.2208118</v>
      </c>
      <c r="P9" s="18">
        <v>17.0363663799608</v>
      </c>
      <c r="Q9" s="18">
        <v>12.81645569620253</v>
      </c>
      <c r="R9" s="18">
        <v>-1864285715.4049289</v>
      </c>
      <c r="S9" s="18">
        <v>149681320.43569499</v>
      </c>
      <c r="T9" s="18">
        <v>973000000</v>
      </c>
      <c r="U9" s="18">
        <v>-1015000000</v>
      </c>
      <c r="V9" s="18">
        <v>-0.60722708702087402</v>
      </c>
      <c r="W9" s="18">
        <v>-571428.57176870795</v>
      </c>
      <c r="X9" s="18">
        <v>5.89</v>
      </c>
      <c r="Y9" s="12">
        <v>0</v>
      </c>
    </row>
    <row r="10" spans="1:25" x14ac:dyDescent="0.25">
      <c r="A10" s="10" t="s">
        <v>8</v>
      </c>
      <c r="B10" s="6">
        <v>12.106756059824701</v>
      </c>
      <c r="C10" s="8">
        <v>15</v>
      </c>
      <c r="D10" s="7">
        <v>0.70000070000070003</v>
      </c>
      <c r="E10" s="7">
        <v>1.4161292314132687</v>
      </c>
      <c r="F10" s="7">
        <v>27.198659517426272</v>
      </c>
      <c r="G10" s="16">
        <v>328.40233084999079</v>
      </c>
      <c r="H10" s="18">
        <v>82.239946380697049</v>
      </c>
      <c r="I10" s="18">
        <v>-1816285714.2857001</v>
      </c>
      <c r="J10" s="18">
        <v>2814811681.6999998</v>
      </c>
      <c r="K10" s="18">
        <v>-9.6514745308310985</v>
      </c>
      <c r="L10" s="18">
        <v>100.99280891806409</v>
      </c>
      <c r="M10" s="18">
        <v>-1174571428.57143</v>
      </c>
      <c r="N10" s="18">
        <v>5.7915057914235746</v>
      </c>
      <c r="O10" s="18">
        <v>11557952046.906084</v>
      </c>
      <c r="P10" s="18">
        <v>12.106756059824701</v>
      </c>
      <c r="Q10" s="18">
        <v>14.117962466487935</v>
      </c>
      <c r="R10" s="18">
        <v>-1228285714.285713</v>
      </c>
      <c r="S10" s="18">
        <v>641238265.59356093</v>
      </c>
      <c r="T10" s="18">
        <v>932000000</v>
      </c>
      <c r="U10" s="18">
        <v>-1045000000</v>
      </c>
      <c r="V10" s="18">
        <f>AVERAGE(V2:V9)</f>
        <v>-0.62683819234371174</v>
      </c>
      <c r="W10" s="18">
        <v>-20428571.428571399</v>
      </c>
      <c r="X10" s="18">
        <f>AVERAGE(X2:X8)</f>
        <v>4.7357142857142858</v>
      </c>
      <c r="Y10" s="12">
        <v>0</v>
      </c>
    </row>
    <row r="11" spans="1:25" x14ac:dyDescent="0.25">
      <c r="A11" s="10" t="s">
        <v>9</v>
      </c>
      <c r="B11" s="6">
        <v>23.864289821736602</v>
      </c>
      <c r="C11" s="8">
        <v>15</v>
      </c>
      <c r="D11" s="7">
        <v>0.70000070000070003</v>
      </c>
      <c r="E11" s="7">
        <v>1.888470417064336</v>
      </c>
      <c r="F11" s="7">
        <v>29.224263038548752</v>
      </c>
      <c r="G11" s="16">
        <v>116.10420903375906</v>
      </c>
      <c r="H11" s="18">
        <v>84.13197278911565</v>
      </c>
      <c r="I11" s="18">
        <v>-1441428571.42857</v>
      </c>
      <c r="J11" s="18">
        <v>2703419543.9000001</v>
      </c>
      <c r="K11" s="18">
        <v>-8.3900226757369616</v>
      </c>
      <c r="L11" s="18">
        <v>106.54501960853828</v>
      </c>
      <c r="M11" s="18">
        <v>-1211428571.42857</v>
      </c>
      <c r="N11" s="18">
        <v>4.7445255473815848</v>
      </c>
      <c r="O11" s="18">
        <v>11504209541.627689</v>
      </c>
      <c r="P11" s="18">
        <v>23.864289821736602</v>
      </c>
      <c r="Q11" s="18">
        <v>14.401360544217686</v>
      </c>
      <c r="R11" s="18">
        <v>-1603571428.5714281</v>
      </c>
      <c r="S11" s="18">
        <v>1385742881.88276</v>
      </c>
      <c r="T11" s="18">
        <v>1360000000</v>
      </c>
      <c r="U11" s="18">
        <v>-1670000000</v>
      </c>
      <c r="V11" s="18">
        <f t="shared" ref="V11:V26" si="0">AVERAGE(V3:V10)</f>
        <v>-0.65342145226895798</v>
      </c>
      <c r="W11" s="18">
        <f t="shared" ref="W11:X14" si="1">AVERAGE(W3:W9)</f>
        <v>-3845123.688287925</v>
      </c>
      <c r="X11" s="18">
        <f t="shared" si="1"/>
        <v>5.13</v>
      </c>
      <c r="Y11" s="12">
        <v>0</v>
      </c>
    </row>
    <row r="12" spans="1:25" x14ac:dyDescent="0.25">
      <c r="A12" s="10" t="s">
        <v>10</v>
      </c>
      <c r="B12" s="6">
        <v>19.693593314763</v>
      </c>
      <c r="C12" s="8">
        <v>16.3333333333333</v>
      </c>
      <c r="D12" s="7">
        <v>0.70000070000070003</v>
      </c>
      <c r="E12" s="7">
        <v>2.5946244489416093</v>
      </c>
      <c r="F12" s="7">
        <v>28.895145631067958</v>
      </c>
      <c r="G12" s="16">
        <v>78.672147029363956</v>
      </c>
      <c r="H12" s="18">
        <v>87.14252427184465</v>
      </c>
      <c r="I12" s="18">
        <v>20142857.142856602</v>
      </c>
      <c r="J12" s="18">
        <v>1661279118.8</v>
      </c>
      <c r="K12" s="18">
        <v>-10.097087378640776</v>
      </c>
      <c r="L12" s="18">
        <v>110.56193064697126</v>
      </c>
      <c r="M12" s="18">
        <v>-928714285.71428597</v>
      </c>
      <c r="N12" s="18">
        <v>3.8327526131913174</v>
      </c>
      <c r="O12" s="18">
        <v>10494893951.296152</v>
      </c>
      <c r="P12" s="18">
        <v>19.693593314763</v>
      </c>
      <c r="Q12" s="18">
        <v>15.799999805825243</v>
      </c>
      <c r="R12" s="18">
        <v>909714285.71428931</v>
      </c>
      <c r="S12" s="18">
        <v>2475936559.3665104</v>
      </c>
      <c r="T12" s="18">
        <v>1303000000</v>
      </c>
      <c r="U12" s="18">
        <v>-240000000</v>
      </c>
      <c r="V12" s="18">
        <f t="shared" si="0"/>
        <v>-0.6549835696350782</v>
      </c>
      <c r="W12" s="18">
        <v>-1714285.7142857099</v>
      </c>
      <c r="X12" s="18">
        <f t="shared" si="1"/>
        <v>5.2865306122448974</v>
      </c>
      <c r="Y12" s="12">
        <v>0</v>
      </c>
    </row>
    <row r="13" spans="1:25" x14ac:dyDescent="0.25">
      <c r="A13" s="10" t="s">
        <v>11</v>
      </c>
      <c r="B13" s="6">
        <v>17.663486153129998</v>
      </c>
      <c r="C13" s="8">
        <v>17</v>
      </c>
      <c r="D13" s="7">
        <v>0.70000070000070003</v>
      </c>
      <c r="E13" s="7">
        <v>2.0499856918058739</v>
      </c>
      <c r="F13" s="7">
        <v>28.133279220779222</v>
      </c>
      <c r="G13" s="16">
        <v>-10.321346036202767</v>
      </c>
      <c r="H13" s="18">
        <v>88.552922077922076</v>
      </c>
      <c r="I13" s="18">
        <v>-1040857142.85709</v>
      </c>
      <c r="J13" s="18">
        <v>2488284739.6999998</v>
      </c>
      <c r="K13" s="18">
        <v>-17.857142857142858</v>
      </c>
      <c r="L13" s="18">
        <v>132.71866450659394</v>
      </c>
      <c r="M13" s="18">
        <v>-1178000000</v>
      </c>
      <c r="N13" s="18">
        <v>5.4613204955134051</v>
      </c>
      <c r="O13" s="18">
        <v>9601930550.8233967</v>
      </c>
      <c r="P13" s="18">
        <v>17.663486153129998</v>
      </c>
      <c r="Q13" s="18">
        <v>16.887987500000001</v>
      </c>
      <c r="R13" s="18">
        <v>-1412000000.000001</v>
      </c>
      <c r="S13" s="18">
        <v>2220386579.4374399</v>
      </c>
      <c r="T13" s="18">
        <v>1738000000</v>
      </c>
      <c r="U13" s="18">
        <v>-2084000000</v>
      </c>
      <c r="V13" s="18">
        <f t="shared" si="0"/>
        <v>-0.63405630303896021</v>
      </c>
      <c r="W13" s="18">
        <f t="shared" si="1"/>
        <v>-6222772.7756640632</v>
      </c>
      <c r="X13" s="18">
        <f t="shared" si="1"/>
        <v>5.369387755102041</v>
      </c>
      <c r="Y13" s="12">
        <v>0</v>
      </c>
    </row>
    <row r="14" spans="1:25" x14ac:dyDescent="0.25">
      <c r="A14" s="10" t="s">
        <v>12</v>
      </c>
      <c r="B14" s="6">
        <v>21.261867088607801</v>
      </c>
      <c r="C14" s="8">
        <v>18.3333333333333</v>
      </c>
      <c r="D14" s="7">
        <v>0.86666666666666703</v>
      </c>
      <c r="E14" s="7">
        <v>2.2161160103449089</v>
      </c>
      <c r="F14" s="7">
        <v>26.530129870129869</v>
      </c>
      <c r="G14" s="16">
        <v>-166.47446452245126</v>
      </c>
      <c r="H14" s="18">
        <v>83.238311688311683</v>
      </c>
      <c r="I14" s="18">
        <v>-1308545454.54545</v>
      </c>
      <c r="J14" s="18">
        <v>2929882142.5999999</v>
      </c>
      <c r="K14" s="18">
        <v>-14.545454545454545</v>
      </c>
      <c r="L14" s="18">
        <v>116.38213285738621</v>
      </c>
      <c r="M14" s="18">
        <v>-1227545454.54546</v>
      </c>
      <c r="N14" s="18">
        <v>4.920868603902278</v>
      </c>
      <c r="O14" s="18">
        <v>10571044712.928541</v>
      </c>
      <c r="P14" s="18">
        <v>21.261867088607801</v>
      </c>
      <c r="Q14" s="18">
        <v>17.201298311688312</v>
      </c>
      <c r="R14" s="18">
        <v>-918636363.63637304</v>
      </c>
      <c r="S14" s="18">
        <v>-1475990089.0094099</v>
      </c>
      <c r="T14" s="18">
        <v>1671000000</v>
      </c>
      <c r="U14" s="18">
        <v>-289000000</v>
      </c>
      <c r="V14" s="18">
        <f t="shared" si="0"/>
        <v>-0.63464350976209971</v>
      </c>
      <c r="W14" s="18">
        <f t="shared" si="1"/>
        <v>-5732976.8562471541</v>
      </c>
      <c r="X14" s="18">
        <v>7.06</v>
      </c>
      <c r="Y14" s="12">
        <v>0</v>
      </c>
    </row>
    <row r="15" spans="1:25" x14ac:dyDescent="0.25">
      <c r="A15" s="10" t="s">
        <v>13</v>
      </c>
      <c r="B15" s="6">
        <v>16.756374707769101</v>
      </c>
      <c r="C15" s="8">
        <v>19</v>
      </c>
      <c r="D15" s="7">
        <v>1.55</v>
      </c>
      <c r="E15" s="7">
        <v>2.7202192317210971</v>
      </c>
      <c r="F15" s="7">
        <v>25.525678496868476</v>
      </c>
      <c r="G15" s="16">
        <v>-8.363178175727775</v>
      </c>
      <c r="H15" s="18">
        <v>86.125052192066804</v>
      </c>
      <c r="I15" s="18">
        <v>2327000000</v>
      </c>
      <c r="J15" s="18">
        <v>3073534034.3000002</v>
      </c>
      <c r="K15" s="18">
        <v>-12.21294363256785</v>
      </c>
      <c r="L15" s="18">
        <v>78.845772767479076</v>
      </c>
      <c r="M15" s="18">
        <v>-722000000</v>
      </c>
      <c r="N15" s="18">
        <v>5.6670291571581828</v>
      </c>
      <c r="O15" s="18">
        <v>11778824405.563032</v>
      </c>
      <c r="P15" s="18">
        <v>16.756374707769101</v>
      </c>
      <c r="Q15" s="18">
        <v>16.974947390396661</v>
      </c>
      <c r="R15" s="18">
        <v>13559500000</v>
      </c>
      <c r="S15" s="18">
        <v>-1352550408.00947</v>
      </c>
      <c r="T15" s="18">
        <v>2281000000</v>
      </c>
      <c r="U15" s="18">
        <v>-1875000000</v>
      </c>
      <c r="V15" s="18">
        <f t="shared" si="0"/>
        <v>-0.60924799156555298</v>
      </c>
      <c r="W15" s="18">
        <v>-15000000</v>
      </c>
      <c r="X15" s="18">
        <v>8.43</v>
      </c>
      <c r="Y15" s="12">
        <v>1</v>
      </c>
    </row>
    <row r="16" spans="1:25" x14ac:dyDescent="0.25">
      <c r="A16" s="10" t="s">
        <v>14</v>
      </c>
      <c r="B16" s="6">
        <v>19.7485448195578</v>
      </c>
      <c r="C16" s="8">
        <v>19.8466666666667</v>
      </c>
      <c r="D16" s="7">
        <v>3.13800833333333</v>
      </c>
      <c r="E16" s="7">
        <v>4.8391854224694013</v>
      </c>
      <c r="F16" s="7">
        <v>22.058631111111112</v>
      </c>
      <c r="G16" s="16">
        <v>-1338.2843783612045</v>
      </c>
      <c r="H16" s="18">
        <v>87.523466666666678</v>
      </c>
      <c r="I16" s="18">
        <v>3369000000</v>
      </c>
      <c r="J16" s="18">
        <v>2612253086.6999998</v>
      </c>
      <c r="K16" s="18">
        <v>-7.9111111111111105</v>
      </c>
      <c r="L16" s="18">
        <v>86.641973059940511</v>
      </c>
      <c r="M16" s="18">
        <v>-191000000</v>
      </c>
      <c r="N16" s="18">
        <v>1.1254045952074705</v>
      </c>
      <c r="O16" s="18">
        <v>12013958690.594883</v>
      </c>
      <c r="P16" s="18">
        <v>19.7485448195578</v>
      </c>
      <c r="Q16" s="18">
        <v>16.017777511111113</v>
      </c>
      <c r="R16" s="18">
        <v>4418000000</v>
      </c>
      <c r="S16" s="18">
        <v>16748420411.841999</v>
      </c>
      <c r="T16" s="18">
        <v>2409000000</v>
      </c>
      <c r="U16" s="18">
        <v>2751000000</v>
      </c>
      <c r="V16" s="18">
        <f t="shared" si="0"/>
        <v>-0.61635622656757505</v>
      </c>
      <c r="W16" s="18">
        <v>-21000000</v>
      </c>
      <c r="X16" s="18">
        <v>9.3800000000000008</v>
      </c>
      <c r="Y16" s="12">
        <v>1</v>
      </c>
    </row>
    <row r="17" spans="1:25" x14ac:dyDescent="0.25">
      <c r="A17" s="10" t="s">
        <v>15</v>
      </c>
      <c r="B17" s="6">
        <v>13.637424171721801</v>
      </c>
      <c r="C17" s="8">
        <v>20.328333333333301</v>
      </c>
      <c r="D17" s="7">
        <v>3.3217483333333302</v>
      </c>
      <c r="E17" s="7">
        <v>8.4179081783310359</v>
      </c>
      <c r="F17" s="7">
        <v>22.270452911574406</v>
      </c>
      <c r="G17" s="16">
        <v>100.41007515326305</v>
      </c>
      <c r="H17" s="18">
        <v>84.538964773544208</v>
      </c>
      <c r="I17" s="18">
        <v>3270000000</v>
      </c>
      <c r="J17" s="18">
        <v>2679944451.3000002</v>
      </c>
      <c r="K17" s="18">
        <v>-2.5161754133716752</v>
      </c>
      <c r="L17" s="18">
        <v>74.089647336614178</v>
      </c>
      <c r="M17" s="18">
        <v>-455000000</v>
      </c>
      <c r="N17" s="18">
        <v>4.472859184081841</v>
      </c>
      <c r="O17" s="18">
        <v>13147473896.428249</v>
      </c>
      <c r="P17" s="18">
        <v>13.637424171721801</v>
      </c>
      <c r="Q17" s="18">
        <v>15.621854780733285</v>
      </c>
      <c r="R17" s="18">
        <v>3849000000</v>
      </c>
      <c r="S17" s="18">
        <v>33565521934.356998</v>
      </c>
      <c r="T17" s="18">
        <v>1782000000</v>
      </c>
      <c r="U17" s="18">
        <v>-1634000000</v>
      </c>
      <c r="V17" s="18">
        <f t="shared" si="0"/>
        <v>-0.62959679152535131</v>
      </c>
      <c r="W17" s="18">
        <v>-6000000</v>
      </c>
      <c r="X17" s="18">
        <v>8.92</v>
      </c>
      <c r="Y17" s="12">
        <v>0</v>
      </c>
    </row>
    <row r="18" spans="1:25" x14ac:dyDescent="0.25">
      <c r="A18" s="10" t="s">
        <v>16</v>
      </c>
      <c r="B18" s="6">
        <v>12.089792286897699</v>
      </c>
      <c r="C18" s="8">
        <v>18.297499999999999</v>
      </c>
      <c r="D18" s="7">
        <v>3.3525174999999998</v>
      </c>
      <c r="E18" s="7">
        <v>9.6338481350096554</v>
      </c>
      <c r="F18" s="7">
        <v>23.765786082474229</v>
      </c>
      <c r="G18" s="16">
        <v>35.990168927623507</v>
      </c>
      <c r="H18" s="18">
        <v>85.807796391752589</v>
      </c>
      <c r="I18" s="18">
        <v>2538000000</v>
      </c>
      <c r="J18" s="18">
        <v>2202758535</v>
      </c>
      <c r="K18" s="18">
        <v>-4.2525773195876289</v>
      </c>
      <c r="L18" s="18">
        <v>65.4923875025721</v>
      </c>
      <c r="M18" s="18">
        <v>-493000000</v>
      </c>
      <c r="N18" s="18">
        <v>2.900790799594418</v>
      </c>
      <c r="O18" s="18">
        <v>14507803121.248501</v>
      </c>
      <c r="P18" s="18">
        <v>12.089792286897699</v>
      </c>
      <c r="Q18" s="18">
        <v>15.734536082474227</v>
      </c>
      <c r="R18" s="18">
        <v>1438000000</v>
      </c>
      <c r="S18" s="18">
        <v>45645809979.970604</v>
      </c>
      <c r="T18" s="18">
        <v>1894000000</v>
      </c>
      <c r="U18" s="18">
        <v>6569000000</v>
      </c>
      <c r="V18" s="18">
        <f t="shared" si="0"/>
        <v>-0.63239300458841097</v>
      </c>
      <c r="W18" s="18">
        <v>-4000000</v>
      </c>
      <c r="X18" s="18">
        <v>10.92</v>
      </c>
      <c r="Y18" s="12">
        <v>0</v>
      </c>
    </row>
    <row r="19" spans="1:25" x14ac:dyDescent="0.25">
      <c r="A19" s="10" t="s">
        <v>17</v>
      </c>
      <c r="B19" s="6">
        <v>8.15423128587096</v>
      </c>
      <c r="C19" s="8">
        <v>16.512499999999999</v>
      </c>
      <c r="D19" s="7">
        <v>3.38513333333333</v>
      </c>
      <c r="E19" s="7">
        <v>9.7406855270960797</v>
      </c>
      <c r="F19" s="7">
        <v>27.903657142857142</v>
      </c>
      <c r="G19" s="16">
        <v>11.973499672479495</v>
      </c>
      <c r="H19" s="18">
        <v>84.633542857142857</v>
      </c>
      <c r="I19" s="18">
        <v>31000000</v>
      </c>
      <c r="J19" s="18">
        <v>2225773798</v>
      </c>
      <c r="K19" s="18">
        <v>-5.4857142857142858</v>
      </c>
      <c r="L19" s="18">
        <v>62.362127998641036</v>
      </c>
      <c r="M19" s="18">
        <v>-1213000000</v>
      </c>
      <c r="N19" s="18">
        <v>3.973172180345415</v>
      </c>
      <c r="O19" s="18">
        <v>15830367734.282326</v>
      </c>
      <c r="P19" s="18">
        <v>8.15423128587096</v>
      </c>
      <c r="Q19" s="18">
        <v>16.017142857142858</v>
      </c>
      <c r="R19" s="18">
        <v>289000000</v>
      </c>
      <c r="S19" s="18">
        <v>51111210888.422997</v>
      </c>
      <c r="T19" s="18">
        <v>7894000000</v>
      </c>
      <c r="U19" s="18">
        <v>5257000000</v>
      </c>
      <c r="V19" s="18">
        <f t="shared" si="0"/>
        <v>-0.63308735611899836</v>
      </c>
      <c r="W19" s="18">
        <v>-3000000</v>
      </c>
      <c r="X19" s="18">
        <v>10.93</v>
      </c>
      <c r="Y19" s="12">
        <v>0</v>
      </c>
    </row>
    <row r="20" spans="1:25" x14ac:dyDescent="0.25">
      <c r="A20" s="10" t="s">
        <v>18</v>
      </c>
      <c r="B20" s="6">
        <v>15.7422305021596</v>
      </c>
      <c r="C20" s="8">
        <v>16.470833333333299</v>
      </c>
      <c r="D20" s="7">
        <v>3.3922083333333299</v>
      </c>
      <c r="E20" s="7">
        <v>10.744212941870103</v>
      </c>
      <c r="F20" s="7">
        <v>32.733823529411765</v>
      </c>
      <c r="G20" s="16">
        <v>-4.2983495642982668</v>
      </c>
      <c r="H20" s="18">
        <v>79.787401960784308</v>
      </c>
      <c r="I20" s="18">
        <v>-254000000</v>
      </c>
      <c r="J20" s="18">
        <v>2380850036.0999999</v>
      </c>
      <c r="K20" s="18">
        <v>-5.1470588235294112</v>
      </c>
      <c r="L20" s="18">
        <v>55.343884162058664</v>
      </c>
      <c r="M20" s="18">
        <v>-505000000</v>
      </c>
      <c r="N20" s="18">
        <v>4.6424587724063855</v>
      </c>
      <c r="O20" s="18">
        <v>18195222648.186375</v>
      </c>
      <c r="P20" s="18">
        <v>15.7422305021596</v>
      </c>
      <c r="Q20" s="18">
        <v>16.338235294117649</v>
      </c>
      <c r="R20" s="18">
        <v>2000000</v>
      </c>
      <c r="S20" s="18">
        <v>48914272377.892899</v>
      </c>
      <c r="T20" s="18">
        <v>8586000000</v>
      </c>
      <c r="U20" s="18">
        <v>7021000000</v>
      </c>
      <c r="V20" s="18">
        <f t="shared" si="0"/>
        <v>-0.63054559410025324</v>
      </c>
      <c r="W20" s="18">
        <v>-20000000</v>
      </c>
      <c r="X20" s="18">
        <v>11.04</v>
      </c>
      <c r="Y20" s="12">
        <v>0</v>
      </c>
    </row>
    <row r="21" spans="1:25" x14ac:dyDescent="0.25">
      <c r="A21" s="10" t="s">
        <v>19</v>
      </c>
      <c r="B21" s="6">
        <v>7.1871036971999196</v>
      </c>
      <c r="C21" s="8">
        <v>15.5833333333333</v>
      </c>
      <c r="D21" s="7">
        <v>3.3914833333333401</v>
      </c>
      <c r="E21" s="7">
        <v>11.083735308571621</v>
      </c>
      <c r="F21" s="7">
        <v>36.534394071490844</v>
      </c>
      <c r="G21" s="16">
        <v>9.3912633016723319</v>
      </c>
      <c r="H21" s="18">
        <v>78.641455972101141</v>
      </c>
      <c r="I21" s="18">
        <v>-192000000</v>
      </c>
      <c r="J21" s="18">
        <v>2328327176.5</v>
      </c>
      <c r="K21" s="18">
        <v>-5.448997384481256</v>
      </c>
      <c r="L21" s="18">
        <v>46.29687479224954</v>
      </c>
      <c r="M21" s="18">
        <v>-631000000</v>
      </c>
      <c r="N21" s="18">
        <v>4.9887305651220828</v>
      </c>
      <c r="O21" s="18">
        <v>19963443396.226418</v>
      </c>
      <c r="P21" s="18">
        <v>7.1871036971999196</v>
      </c>
      <c r="Q21" s="18">
        <v>16.537053182214471</v>
      </c>
      <c r="R21" s="18">
        <v>340000000</v>
      </c>
      <c r="S21" s="18">
        <v>53507940488.998001</v>
      </c>
      <c r="T21" s="18">
        <v>9100000000</v>
      </c>
      <c r="U21" s="18">
        <v>-3213000000</v>
      </c>
      <c r="V21" s="18">
        <f>AVERAGE(V13:V20)</f>
        <v>-0.6274908471584002</v>
      </c>
      <c r="W21" s="18">
        <v>-545000000</v>
      </c>
      <c r="X21" s="18">
        <v>9</v>
      </c>
      <c r="Y21" s="12">
        <v>0</v>
      </c>
    </row>
    <row r="22" spans="1:25" x14ac:dyDescent="0.25">
      <c r="A22" s="10" t="s">
        <v>20</v>
      </c>
      <c r="B22" s="6">
        <v>4.6256057882643802</v>
      </c>
      <c r="C22" s="8">
        <v>13.7916666666667</v>
      </c>
      <c r="D22" s="7">
        <v>3.3887499999999999</v>
      </c>
      <c r="E22" s="7">
        <v>10.512353511508318</v>
      </c>
      <c r="F22" s="7">
        <v>39.693606619029708</v>
      </c>
      <c r="G22" s="16">
        <v>-8.0617220033554684</v>
      </c>
      <c r="H22" s="18">
        <v>75.154757427604352</v>
      </c>
      <c r="I22" s="18">
        <v>-710500000</v>
      </c>
      <c r="J22" s="18">
        <v>2112580379.0999999</v>
      </c>
      <c r="K22" s="18">
        <v>-6.0549078600977806</v>
      </c>
      <c r="L22" s="18">
        <v>37.940208488320032</v>
      </c>
      <c r="M22" s="18">
        <v>-761350000</v>
      </c>
      <c r="N22" s="18">
        <v>5.4923547430294235</v>
      </c>
      <c r="O22" s="18">
        <v>22746312684.36578</v>
      </c>
      <c r="P22" s="18">
        <v>4.6256057882643802</v>
      </c>
      <c r="Q22" s="18">
        <v>16.315532154945469</v>
      </c>
      <c r="R22" s="18">
        <v>-2585310000</v>
      </c>
      <c r="S22" s="18">
        <v>49194279077.0541</v>
      </c>
      <c r="T22" s="18">
        <v>10438000000</v>
      </c>
      <c r="U22" s="18">
        <v>-4329000000</v>
      </c>
      <c r="V22" s="18">
        <f t="shared" si="0"/>
        <v>-0.6266701651733303</v>
      </c>
      <c r="W22" s="18">
        <v>-815500000</v>
      </c>
      <c r="X22" s="18">
        <v>8.3699999999999992</v>
      </c>
      <c r="Y22" s="12">
        <v>0</v>
      </c>
    </row>
    <row r="23" spans="1:25" x14ac:dyDescent="0.25">
      <c r="A23" s="10" t="s">
        <v>21</v>
      </c>
      <c r="B23" s="6">
        <v>3.8725754642749002</v>
      </c>
      <c r="C23" s="8">
        <v>13.016666666666699</v>
      </c>
      <c r="D23" s="7">
        <v>3.3879999999999999</v>
      </c>
      <c r="E23" s="7">
        <v>10.182424088476324</v>
      </c>
      <c r="F23" s="7">
        <v>46.555010438413362</v>
      </c>
      <c r="G23" s="16">
        <v>-26.594814609222357</v>
      </c>
      <c r="H23" s="18">
        <v>77.025643702157282</v>
      </c>
      <c r="I23" s="18">
        <v>-2566000000</v>
      </c>
      <c r="J23" s="18">
        <v>1896653192</v>
      </c>
      <c r="K23" s="18">
        <v>-9.4989561586638835</v>
      </c>
      <c r="L23" s="18">
        <v>37.751367848062117</v>
      </c>
      <c r="M23" s="18">
        <v>-1031000000</v>
      </c>
      <c r="N23" s="18">
        <v>5.575497460986</v>
      </c>
      <c r="O23" s="18">
        <v>24299291617.473438</v>
      </c>
      <c r="P23" s="18">
        <v>3.8725754642749002</v>
      </c>
      <c r="Q23" s="18">
        <v>16.97912317327766</v>
      </c>
      <c r="R23" s="18">
        <v>-3288000000</v>
      </c>
      <c r="S23" s="18">
        <v>36111151758.168098</v>
      </c>
      <c r="T23" s="18">
        <f>AVERAGE(T2:T22)</f>
        <v>2774650000</v>
      </c>
      <c r="U23" s="18">
        <f>AVERAGE(U2:U22)</f>
        <v>34950000</v>
      </c>
      <c r="V23" s="18">
        <f t="shared" si="0"/>
        <v>-0.62567349709973397</v>
      </c>
      <c r="W23" s="18">
        <v>600000000</v>
      </c>
      <c r="X23" s="18">
        <v>8.0299999999999994</v>
      </c>
      <c r="Y23" s="12">
        <v>0</v>
      </c>
    </row>
    <row r="24" spans="1:25" x14ac:dyDescent="0.25">
      <c r="A24" s="10" t="s">
        <v>22</v>
      </c>
      <c r="B24" s="6">
        <v>3.07949912638332</v>
      </c>
      <c r="C24" s="8">
        <v>12.965</v>
      </c>
      <c r="D24" s="7">
        <v>3.3952499999999999</v>
      </c>
      <c r="E24" s="7">
        <v>8.0437161368588601</v>
      </c>
      <c r="F24" s="7">
        <v>52.001820546163849</v>
      </c>
      <c r="G24" s="16">
        <v>-30.514164476596545</v>
      </c>
      <c r="H24" s="18">
        <v>76.043368010403128</v>
      </c>
      <c r="I24" s="18">
        <v>-1634800000</v>
      </c>
      <c r="J24" s="18">
        <v>2131343502.0999999</v>
      </c>
      <c r="K24" s="18">
        <v>-8.2574772431729517</v>
      </c>
      <c r="L24" s="18">
        <v>34.116384893846131</v>
      </c>
      <c r="M24" s="18">
        <v>-1027800000</v>
      </c>
      <c r="N24" s="18">
        <v>6.0534387846755493</v>
      </c>
      <c r="O24" s="18">
        <v>25762606900.619286</v>
      </c>
      <c r="P24" s="18">
        <v>3.07949912638332</v>
      </c>
      <c r="Q24" s="18">
        <v>17.953511053315996</v>
      </c>
      <c r="R24" s="18">
        <v>-3192700000</v>
      </c>
      <c r="S24" s="18">
        <v>25092135516.2873</v>
      </c>
      <c r="T24" s="18">
        <f t="shared" ref="T24:U26" si="2">AVERAGE(T3:T23)</f>
        <v>2899382500</v>
      </c>
      <c r="U24" s="18">
        <f t="shared" si="2"/>
        <v>59847500</v>
      </c>
      <c r="V24" s="18">
        <f t="shared" si="0"/>
        <v>-0.62772668529150666</v>
      </c>
      <c r="W24" s="18">
        <v>-595300000</v>
      </c>
      <c r="X24" s="18">
        <v>7.95</v>
      </c>
      <c r="Y24" s="12">
        <v>0</v>
      </c>
    </row>
    <row r="25" spans="1:25" x14ac:dyDescent="0.25">
      <c r="A25" s="10" t="s">
        <v>23</v>
      </c>
      <c r="B25" s="6">
        <v>2.68380535348546</v>
      </c>
      <c r="C25" s="8">
        <v>13.2158333333333</v>
      </c>
      <c r="D25" s="7">
        <v>3.4720499999999999</v>
      </c>
      <c r="E25" s="7">
        <v>6.927736427317531</v>
      </c>
      <c r="F25" s="7">
        <v>51.953278447515437</v>
      </c>
      <c r="G25" s="16">
        <v>-8.8965888198785841</v>
      </c>
      <c r="H25" s="18">
        <v>76.741899441340777</v>
      </c>
      <c r="I25" s="18">
        <v>-971000000</v>
      </c>
      <c r="J25" s="18">
        <v>1841558183.8</v>
      </c>
      <c r="K25" s="18">
        <v>-6.6157012643340192</v>
      </c>
      <c r="L25" s="18">
        <v>29.143669778148372</v>
      </c>
      <c r="M25" s="18">
        <v>-1184000000</v>
      </c>
      <c r="N25" s="18">
        <v>6.370003829917664</v>
      </c>
      <c r="O25" s="18">
        <v>30702216351.093498</v>
      </c>
      <c r="P25" s="18">
        <v>2.68380535348546</v>
      </c>
      <c r="Q25" s="18">
        <v>17.997971184945605</v>
      </c>
      <c r="R25" s="18">
        <v>-384000000</v>
      </c>
      <c r="S25" s="18">
        <v>22859791393.276501</v>
      </c>
      <c r="T25" s="18">
        <f t="shared" si="2"/>
        <v>3021801625</v>
      </c>
      <c r="U25" s="18">
        <f t="shared" si="2"/>
        <v>79389875</v>
      </c>
      <c r="V25" s="18">
        <f t="shared" si="0"/>
        <v>-0.62914799263199805</v>
      </c>
      <c r="W25" s="18">
        <v>-266000000</v>
      </c>
      <c r="X25" s="18">
        <v>8.98</v>
      </c>
      <c r="Y25" s="12">
        <v>0</v>
      </c>
    </row>
    <row r="26" spans="1:25" x14ac:dyDescent="0.25">
      <c r="A26" s="10" t="s">
        <v>24</v>
      </c>
      <c r="B26" s="6">
        <v>2.2697572047595602</v>
      </c>
      <c r="C26" s="8">
        <v>13.2916666666667</v>
      </c>
      <c r="D26" s="7">
        <v>3.9729999999999999</v>
      </c>
      <c r="E26" s="7">
        <v>7.457489008187979</v>
      </c>
      <c r="F26" s="7">
        <v>54.93114022860329</v>
      </c>
      <c r="G26" s="16">
        <v>-70.339148884164146</v>
      </c>
      <c r="H26" s="18">
        <v>82.378282687482567</v>
      </c>
      <c r="I26" s="18">
        <v>-388400000</v>
      </c>
      <c r="J26" s="18">
        <v>1989108070.7</v>
      </c>
      <c r="K26" s="18">
        <v>-4.8508502927237247</v>
      </c>
      <c r="L26" s="18">
        <v>28.981989639942213</v>
      </c>
      <c r="M26" s="18">
        <v>-497500000</v>
      </c>
      <c r="N26" s="18">
        <v>3.5352519739150665</v>
      </c>
      <c r="O26" s="18">
        <v>29874447439.3531</v>
      </c>
      <c r="P26" s="18">
        <v>2.2697572047595602</v>
      </c>
      <c r="Q26" s="18">
        <v>17.698076386952884</v>
      </c>
      <c r="R26" s="18">
        <v>-1536900000</v>
      </c>
      <c r="S26" s="18">
        <v>6780408690.5503998</v>
      </c>
      <c r="T26" s="18">
        <f t="shared" si="2"/>
        <v>3155191706.25</v>
      </c>
      <c r="U26" s="18">
        <f t="shared" si="2"/>
        <v>128559368.75</v>
      </c>
      <c r="V26" s="18">
        <f t="shared" si="0"/>
        <v>-0.62909189277032884</v>
      </c>
      <c r="W26" s="18">
        <v>-1461300000</v>
      </c>
      <c r="X26" s="18">
        <v>9.26</v>
      </c>
      <c r="Y26" s="12">
        <v>0</v>
      </c>
    </row>
    <row r="27" spans="1:25" x14ac:dyDescent="0.25">
      <c r="A27" s="10" t="s">
        <v>25</v>
      </c>
      <c r="B27" s="6">
        <v>2.7372385500033398</v>
      </c>
      <c r="C27" s="8">
        <v>13.7916666666667</v>
      </c>
      <c r="D27" s="7">
        <v>4.4996666666666698</v>
      </c>
      <c r="E27" s="7">
        <v>8.250266346708738</v>
      </c>
      <c r="F27" s="7">
        <v>54.655397202428077</v>
      </c>
      <c r="G27" s="16">
        <v>27.565832669169961</v>
      </c>
      <c r="H27" s="18">
        <v>87.836500395882823</v>
      </c>
      <c r="I27" s="18">
        <v>622400000</v>
      </c>
      <c r="J27" s="18">
        <v>2079895002.5999999</v>
      </c>
      <c r="K27" s="18">
        <v>-4.3547110055423595</v>
      </c>
      <c r="L27" s="18">
        <v>34.808889670716503</v>
      </c>
      <c r="M27" s="18">
        <v>-619100000</v>
      </c>
      <c r="N27" s="18">
        <v>2.3902040257372619</v>
      </c>
      <c r="O27" s="18">
        <v>27743573033.707863</v>
      </c>
      <c r="P27" s="18">
        <v>2.7372385500033398</v>
      </c>
      <c r="Q27" s="18">
        <v>18.496753760886779</v>
      </c>
      <c r="R27" s="18">
        <v>2527900000</v>
      </c>
      <c r="S27" s="18">
        <v>8649484804.473381</v>
      </c>
      <c r="T27" s="18">
        <v>18403000000</v>
      </c>
      <c r="U27" s="18">
        <v>-25558000000</v>
      </c>
      <c r="V27" s="18">
        <v>-0.414172112941742</v>
      </c>
      <c r="W27" s="18">
        <v>677500000</v>
      </c>
      <c r="X27" s="18">
        <v>10.01</v>
      </c>
      <c r="Y27" s="12">
        <v>0</v>
      </c>
    </row>
    <row r="28" spans="1:25" x14ac:dyDescent="0.25">
      <c r="A28" s="10" t="s">
        <v>26</v>
      </c>
      <c r="B28" s="6">
        <v>4.5077763631930399</v>
      </c>
      <c r="C28" s="8">
        <v>13.533333333333299</v>
      </c>
      <c r="D28" s="7">
        <v>5.8508750000000003</v>
      </c>
      <c r="E28" s="7">
        <v>8.550895733722836</v>
      </c>
      <c r="F28" s="7">
        <v>53.897628742514968</v>
      </c>
      <c r="G28" s="16">
        <v>199.90788906406399</v>
      </c>
      <c r="H28" s="18">
        <v>96.678850299401205</v>
      </c>
      <c r="I28" s="18">
        <v>3743300000</v>
      </c>
      <c r="J28" s="18">
        <v>2684844907.3000002</v>
      </c>
      <c r="K28" s="18">
        <v>-2.5868263473053892</v>
      </c>
      <c r="L28" s="18">
        <v>37.998412821910065</v>
      </c>
      <c r="M28" s="18">
        <v>-216700000</v>
      </c>
      <c r="N28" s="18">
        <v>3.1934547373974453</v>
      </c>
      <c r="O28" s="18">
        <v>26792730769.23077</v>
      </c>
      <c r="P28" s="18">
        <v>4.5077763631930399</v>
      </c>
      <c r="Q28" s="18">
        <v>17.303832335329343</v>
      </c>
      <c r="R28" s="18">
        <v>5199300000</v>
      </c>
      <c r="S28" s="18">
        <v>25940487292.0131</v>
      </c>
      <c r="T28" s="18">
        <v>19203000000</v>
      </c>
      <c r="U28" s="18">
        <v>-24283000000</v>
      </c>
      <c r="V28" s="18">
        <v>-0.640924513339996</v>
      </c>
      <c r="W28" s="18">
        <v>42900000</v>
      </c>
      <c r="X28" s="18">
        <v>10.91</v>
      </c>
      <c r="Y28" s="12">
        <v>0</v>
      </c>
    </row>
    <row r="29" spans="1:25" x14ac:dyDescent="0.25">
      <c r="A29" s="10" t="s">
        <v>27</v>
      </c>
      <c r="B29" s="6">
        <v>11.270619332052</v>
      </c>
      <c r="C29" s="8">
        <v>13.375</v>
      </c>
      <c r="D29" s="7">
        <v>6.1962416666666602</v>
      </c>
      <c r="E29" s="7">
        <v>6.6368413754804534</v>
      </c>
      <c r="F29" s="7">
        <v>54.042914279826903</v>
      </c>
      <c r="G29" s="16">
        <v>108.58449977275384</v>
      </c>
      <c r="H29" s="18">
        <v>96.678625863383473</v>
      </c>
      <c r="I29" s="18">
        <v>3921700000</v>
      </c>
      <c r="J29" s="18">
        <v>2174037183.0999999</v>
      </c>
      <c r="K29" s="18">
        <v>-1.3599835153513289</v>
      </c>
      <c r="L29" s="18">
        <v>39.965611950305373</v>
      </c>
      <c r="M29" s="18">
        <v>-1094400000</v>
      </c>
      <c r="N29" s="18">
        <v>4.0920716112534024</v>
      </c>
      <c r="O29" s="18">
        <v>27312240259.740257</v>
      </c>
      <c r="P29" s="18">
        <v>11.270619332052</v>
      </c>
      <c r="Q29" s="18">
        <v>17.236966824644551</v>
      </c>
      <c r="R29" s="18">
        <v>3795800000</v>
      </c>
      <c r="S29" s="18">
        <v>54107835656.660301</v>
      </c>
      <c r="T29" s="18">
        <v>20692000000</v>
      </c>
      <c r="U29" s="18">
        <v>-27228000000</v>
      </c>
      <c r="V29" s="18">
        <v>-0.82240170240402199</v>
      </c>
      <c r="W29" s="18">
        <v>-238900000</v>
      </c>
      <c r="X29" s="18">
        <v>10.32</v>
      </c>
      <c r="Y29" s="12">
        <v>0</v>
      </c>
    </row>
    <row r="30" spans="1:25" x14ac:dyDescent="0.25">
      <c r="A30" s="10" t="s">
        <v>28</v>
      </c>
      <c r="B30" s="6">
        <v>4.8693969687198804</v>
      </c>
      <c r="C30" s="8">
        <v>13.141666666666699</v>
      </c>
      <c r="D30" s="7">
        <v>5.7788333333333304</v>
      </c>
      <c r="E30" s="7">
        <v>7.3290603759145814</v>
      </c>
      <c r="F30" s="7">
        <v>51.165434053110495</v>
      </c>
      <c r="G30" s="16">
        <v>106.32755211598999</v>
      </c>
      <c r="H30" s="18">
        <v>97.137842448467964</v>
      </c>
      <c r="I30" s="18">
        <v>2102800000</v>
      </c>
      <c r="J30" s="18">
        <v>2286807101.5</v>
      </c>
      <c r="K30" s="18">
        <v>-2.2655524605385327</v>
      </c>
      <c r="L30" s="18">
        <v>34.221342228010762</v>
      </c>
      <c r="M30" s="18">
        <v>-5283600000</v>
      </c>
      <c r="N30" s="18">
        <v>4.4717444717443442</v>
      </c>
      <c r="O30" s="18">
        <v>30617815517.815517</v>
      </c>
      <c r="P30" s="18">
        <v>4.8693969687198804</v>
      </c>
      <c r="Q30" s="18">
        <v>16.709452181987</v>
      </c>
      <c r="R30" s="18">
        <v>-368000000</v>
      </c>
      <c r="S30" s="18">
        <v>111639372813.33</v>
      </c>
      <c r="T30" s="18">
        <v>20162700000</v>
      </c>
      <c r="U30" s="18">
        <v>-34727100000</v>
      </c>
      <c r="V30" s="18">
        <v>-0.62935864925384499</v>
      </c>
      <c r="W30" s="18">
        <v>-3468200000</v>
      </c>
      <c r="X30" s="18">
        <v>11.048999999999999</v>
      </c>
      <c r="Y30" s="12">
        <v>0</v>
      </c>
    </row>
    <row r="31" spans="1:25" x14ac:dyDescent="0.25">
      <c r="A31" s="10" t="s">
        <v>29</v>
      </c>
      <c r="B31" s="6">
        <v>7.64452644526434</v>
      </c>
      <c r="C31" s="8">
        <v>12.6</v>
      </c>
      <c r="D31" s="7">
        <v>5.7331666666666603</v>
      </c>
      <c r="E31" s="7">
        <v>7.3648050449288629</v>
      </c>
      <c r="F31" s="7">
        <v>49.290979735308404</v>
      </c>
      <c r="G31" s="16">
        <v>68.396431172574424</v>
      </c>
      <c r="H31" s="18">
        <v>97.387311711348559</v>
      </c>
      <c r="I31" s="18">
        <v>2635400000</v>
      </c>
      <c r="J31" s="18">
        <v>2487269988.8000002</v>
      </c>
      <c r="K31" s="18">
        <v>-1.6189088554314395</v>
      </c>
      <c r="L31" s="18">
        <v>28.741492505789584</v>
      </c>
      <c r="M31" s="18">
        <v>-9894400000</v>
      </c>
      <c r="N31" s="18">
        <v>6.8438381937911714</v>
      </c>
      <c r="O31" s="18">
        <v>38839617391.304344</v>
      </c>
      <c r="P31" s="18">
        <v>7.64452644526434</v>
      </c>
      <c r="Q31" s="18">
        <v>15.977561923263719</v>
      </c>
      <c r="R31" s="18">
        <v>3232900000</v>
      </c>
      <c r="S31" s="18">
        <v>187996719601.09302</v>
      </c>
      <c r="T31" s="18">
        <v>17829000000</v>
      </c>
      <c r="U31" s="18">
        <v>-44279800000</v>
      </c>
      <c r="V31" s="18">
        <v>-0.83780765533447299</v>
      </c>
      <c r="W31" s="18">
        <v>700400000</v>
      </c>
      <c r="X31" s="18">
        <v>10.49</v>
      </c>
      <c r="Y31" s="12">
        <v>0</v>
      </c>
    </row>
    <row r="32" spans="1:25" x14ac:dyDescent="0.25">
      <c r="A32" s="10" t="s">
        <v>30</v>
      </c>
      <c r="B32" s="6">
        <v>9.3189690579922999</v>
      </c>
      <c r="C32" s="8">
        <v>12.508333333333301</v>
      </c>
      <c r="D32" s="7">
        <v>5.6354333333333404</v>
      </c>
      <c r="E32" s="7">
        <v>6.9505652256245094</v>
      </c>
      <c r="F32" s="7">
        <v>45.515221566595059</v>
      </c>
      <c r="G32" s="16">
        <v>23.186544475696028</v>
      </c>
      <c r="H32" s="18">
        <v>96.206414057465096</v>
      </c>
      <c r="I32" s="18">
        <v>411600000</v>
      </c>
      <c r="J32" s="18">
        <v>2893454700.9000001</v>
      </c>
      <c r="K32" s="18">
        <v>-4.5784103114930179</v>
      </c>
      <c r="L32" s="18">
        <v>26.292286790195497</v>
      </c>
      <c r="M32" s="18">
        <v>-10913300000</v>
      </c>
      <c r="N32" s="18">
        <v>7.087827426810378</v>
      </c>
      <c r="O32" s="18">
        <v>45738528896.672508</v>
      </c>
      <c r="P32" s="18">
        <v>9.3189690579922999</v>
      </c>
      <c r="Q32" s="18">
        <v>15.369924812030074</v>
      </c>
      <c r="R32" s="18">
        <v>652100000</v>
      </c>
      <c r="S32" s="18">
        <v>231586662604.25</v>
      </c>
      <c r="T32" s="18">
        <v>21113500000</v>
      </c>
      <c r="U32" s="18">
        <v>-33947700000</v>
      </c>
      <c r="V32" s="18">
        <v>-0.552382111549377</v>
      </c>
      <c r="W32" s="18">
        <v>3573900000</v>
      </c>
      <c r="X32" s="18">
        <v>8.8000000000000007</v>
      </c>
      <c r="Y32" s="12">
        <v>0</v>
      </c>
    </row>
    <row r="33" spans="1:25" x14ac:dyDescent="0.25">
      <c r="A33" s="10" t="s">
        <v>31</v>
      </c>
      <c r="B33" s="6">
        <v>18.316831683168399</v>
      </c>
      <c r="C33" s="8">
        <v>12.324999999999999</v>
      </c>
      <c r="D33" s="7">
        <v>5.4325000000000001</v>
      </c>
      <c r="E33" s="7">
        <v>5.9706004945095108</v>
      </c>
      <c r="F33" s="7">
        <v>42.797513780346172</v>
      </c>
      <c r="G33" s="16">
        <v>6.8453648893665076</v>
      </c>
      <c r="H33" s="18">
        <v>88.4042515689559</v>
      </c>
      <c r="I33" s="18">
        <v>-1414600000</v>
      </c>
      <c r="J33" s="18">
        <v>3292683653.5</v>
      </c>
      <c r="K33" s="18">
        <v>-5.5946398659966503</v>
      </c>
      <c r="L33" s="18">
        <v>20.663768968630286</v>
      </c>
      <c r="M33" s="18">
        <v>-7574400000</v>
      </c>
      <c r="N33" s="18">
        <v>7.1562835660581925</v>
      </c>
      <c r="O33" s="18">
        <v>58960618181.818184</v>
      </c>
      <c r="P33" s="18">
        <v>18.316831683168399</v>
      </c>
      <c r="Q33" s="18">
        <v>15.522367392518147</v>
      </c>
      <c r="R33" s="18">
        <v>-4310800000</v>
      </c>
      <c r="S33" s="18">
        <v>247439614694.617</v>
      </c>
      <c r="T33" s="18">
        <v>34297000000</v>
      </c>
      <c r="U33" s="18">
        <v>-56960880000</v>
      </c>
      <c r="V33" s="18">
        <v>-0.51043170690536499</v>
      </c>
      <c r="W33" s="18">
        <v>7649700000</v>
      </c>
      <c r="X33" s="18">
        <v>8.5169999999999995</v>
      </c>
      <c r="Y33" s="12">
        <v>0</v>
      </c>
    </row>
    <row r="34" spans="1:25" x14ac:dyDescent="0.25">
      <c r="A34" s="10" t="s">
        <v>32</v>
      </c>
      <c r="B34" s="6">
        <v>11.7634954386443</v>
      </c>
      <c r="C34" s="8">
        <v>11.975</v>
      </c>
      <c r="D34" s="7">
        <v>5.5445533086297702</v>
      </c>
      <c r="E34" s="7">
        <v>7.3582745276515782</v>
      </c>
      <c r="F34" s="7">
        <v>36.092713350700443</v>
      </c>
      <c r="G34" s="16">
        <v>3.3974717824259066</v>
      </c>
      <c r="H34" s="18">
        <v>83.155901199385923</v>
      </c>
      <c r="I34" s="18">
        <v>-3349300000</v>
      </c>
      <c r="J34" s="18">
        <v>2968784832.3000002</v>
      </c>
      <c r="K34" s="18">
        <v>-6.6398004221838418</v>
      </c>
      <c r="L34" s="18">
        <v>18.709447759403194</v>
      </c>
      <c r="M34" s="18">
        <v>-6140400000</v>
      </c>
      <c r="N34" s="18">
        <v>4.6735997995239131</v>
      </c>
      <c r="O34" s="18">
        <v>67745735027.223236</v>
      </c>
      <c r="P34" s="18">
        <v>11.7634954386443</v>
      </c>
      <c r="Q34" s="18">
        <v>15.786154289004031</v>
      </c>
      <c r="R34" s="18">
        <v>-2993500000</v>
      </c>
      <c r="S34" s="18">
        <v>255846305782.41</v>
      </c>
      <c r="T34" s="18">
        <v>43480000000</v>
      </c>
      <c r="U34" s="18">
        <v>-68399200000</v>
      </c>
      <c r="V34" s="18">
        <v>-0.60722708702087402</v>
      </c>
      <c r="W34" s="18">
        <v>527100000</v>
      </c>
      <c r="X34" s="18">
        <v>9.0869999999999997</v>
      </c>
      <c r="Y34" s="12">
        <v>0</v>
      </c>
    </row>
    <row r="35" spans="1:25" x14ac:dyDescent="0.25">
      <c r="A35" s="10" t="s">
        <v>33</v>
      </c>
      <c r="B35" s="6">
        <v>11.2651882653185</v>
      </c>
      <c r="C35" s="8">
        <v>11.008333333333301</v>
      </c>
      <c r="D35" s="7">
        <v>5.6219429176105002</v>
      </c>
      <c r="E35" s="7">
        <v>6.7012137898716251</v>
      </c>
      <c r="F35" s="7">
        <v>33.072295221418855</v>
      </c>
      <c r="G35" s="16">
        <v>19.293974088062775</v>
      </c>
      <c r="H35" s="18">
        <v>80.74556172720537</v>
      </c>
      <c r="I35" s="18">
        <v>-4503800000</v>
      </c>
      <c r="J35" s="18">
        <v>3064860540.5999999</v>
      </c>
      <c r="K35" s="18">
        <v>-5.2378584452179684</v>
      </c>
      <c r="L35" s="18">
        <v>17.148499345355315</v>
      </c>
      <c r="M35" s="18">
        <v>-5210100000</v>
      </c>
      <c r="N35" s="18">
        <v>5.1472348575531015</v>
      </c>
      <c r="O35" s="18">
        <v>78362250453.720505</v>
      </c>
      <c r="P35" s="18">
        <v>11.2651882653185</v>
      </c>
      <c r="Q35" s="18">
        <v>16.102270843693024</v>
      </c>
      <c r="R35" s="18">
        <v>-6688400000</v>
      </c>
      <c r="S35" s="18">
        <v>305209225725.33405</v>
      </c>
      <c r="T35" s="18">
        <v>48464000000</v>
      </c>
      <c r="U35" s="18">
        <v>-93317400000</v>
      </c>
      <c r="V35" s="18">
        <v>-0.89841830730438199</v>
      </c>
      <c r="W35" s="18">
        <v>-10441900000</v>
      </c>
      <c r="X35" s="18">
        <v>8.7569999999999997</v>
      </c>
      <c r="Y35" s="12">
        <v>0</v>
      </c>
    </row>
    <row r="36" spans="1:25" x14ac:dyDescent="0.25">
      <c r="A36" s="10" t="s">
        <v>34</v>
      </c>
      <c r="B36" s="6">
        <v>10.0649259874818</v>
      </c>
      <c r="C36" s="8">
        <v>11.033333333333299</v>
      </c>
      <c r="D36" s="7">
        <v>5.9328276515151499</v>
      </c>
      <c r="E36" s="7">
        <v>3.285315682309021</v>
      </c>
      <c r="F36" s="7">
        <v>31.154923289938225</v>
      </c>
      <c r="G36" s="16">
        <v>-37.679097307447933</v>
      </c>
      <c r="H36" s="18">
        <v>75.79391193051346</v>
      </c>
      <c r="I36" s="18">
        <v>-5483900000</v>
      </c>
      <c r="J36" s="18">
        <v>3745397812.5</v>
      </c>
      <c r="K36" s="18">
        <v>-4.1207789366202316</v>
      </c>
      <c r="L36" s="18">
        <v>15.312140699322727</v>
      </c>
      <c r="M36" s="18">
        <v>1108200000</v>
      </c>
      <c r="N36" s="18">
        <v>1.7645719489981957</v>
      </c>
      <c r="O36" s="18">
        <v>84842340791.738388</v>
      </c>
      <c r="P36" s="18">
        <v>10.0649259874818</v>
      </c>
      <c r="Q36" s="18">
        <v>15.767194223616073</v>
      </c>
      <c r="R36" s="18">
        <v>-8385700000</v>
      </c>
      <c r="S36" s="18">
        <v>190209144572.97702</v>
      </c>
      <c r="T36" s="18">
        <v>40026000000</v>
      </c>
      <c r="U36" s="18">
        <v>-138240600000</v>
      </c>
      <c r="V36" s="18">
        <v>-1.43705701828003</v>
      </c>
      <c r="W36" s="18">
        <v>10651600000</v>
      </c>
      <c r="X36" s="18">
        <v>11.849</v>
      </c>
      <c r="Y36" s="12">
        <v>1</v>
      </c>
    </row>
    <row r="37" spans="1:25" x14ac:dyDescent="0.25">
      <c r="A37" s="10" t="s">
        <v>35</v>
      </c>
      <c r="B37" s="6">
        <v>7.1117294334308303</v>
      </c>
      <c r="C37" s="8">
        <v>12</v>
      </c>
      <c r="D37" s="7">
        <v>6.05605833333333</v>
      </c>
      <c r="E37" s="7">
        <v>2.4877953414660334</v>
      </c>
      <c r="F37" s="7">
        <v>27.388449729503971</v>
      </c>
      <c r="G37" s="16">
        <v>-30.170544647551605</v>
      </c>
      <c r="H37" s="18">
        <v>69.715459059382582</v>
      </c>
      <c r="I37" s="18">
        <v>-6972000000</v>
      </c>
      <c r="J37" s="18">
        <v>3242805021.8000002</v>
      </c>
      <c r="K37" s="18">
        <v>-7.9178360303337918</v>
      </c>
      <c r="L37" s="18">
        <v>14.694158997999523</v>
      </c>
      <c r="M37" s="18">
        <v>-2586600000</v>
      </c>
      <c r="N37" s="18">
        <v>2.2261997986352497</v>
      </c>
      <c r="O37" s="18">
        <v>109556961666.66667</v>
      </c>
      <c r="P37" s="18">
        <v>7.1117294334308303</v>
      </c>
      <c r="Q37" s="18">
        <v>16.165474413327761</v>
      </c>
      <c r="R37" s="18">
        <v>-9250600000</v>
      </c>
      <c r="S37" s="18">
        <v>132822009685.86101</v>
      </c>
      <c r="T37" s="18">
        <v>35959000000</v>
      </c>
      <c r="U37" s="18">
        <v>-167557000000</v>
      </c>
      <c r="V37" s="18">
        <v>-1.43632972240448</v>
      </c>
      <c r="W37" s="18">
        <v>1953700000</v>
      </c>
      <c r="X37" s="18">
        <v>12.597</v>
      </c>
      <c r="Y37" s="12">
        <v>0</v>
      </c>
    </row>
    <row r="38" spans="1:25" x14ac:dyDescent="0.25">
      <c r="A38" s="10" t="s">
        <v>36</v>
      </c>
      <c r="B38" s="6">
        <v>9.4697198106492095</v>
      </c>
      <c r="C38" s="8">
        <v>12.2916666666667</v>
      </c>
      <c r="D38" s="7">
        <v>6.8703250000000002</v>
      </c>
      <c r="E38" s="7">
        <v>2.7300396352637284</v>
      </c>
      <c r="F38" s="7">
        <v>26.222439495804345</v>
      </c>
      <c r="G38" s="16">
        <v>-11.466565752904177</v>
      </c>
      <c r="H38" s="18">
        <v>74.611835761580835</v>
      </c>
      <c r="I38" s="18">
        <v>-3533700000</v>
      </c>
      <c r="J38" s="18">
        <v>3436094295.1999998</v>
      </c>
      <c r="K38" s="18">
        <v>-6.3373468071382497</v>
      </c>
      <c r="L38" s="18">
        <v>16.558860817956408</v>
      </c>
      <c r="M38" s="18">
        <v>-3891200000</v>
      </c>
      <c r="N38" s="18">
        <v>2.1854660536214254</v>
      </c>
      <c r="O38" s="18">
        <v>115047581395.34883</v>
      </c>
      <c r="P38" s="18">
        <v>9.4697198106492095</v>
      </c>
      <c r="Q38" s="18">
        <v>16.608374543109008</v>
      </c>
      <c r="R38" s="18">
        <v>-4933400000</v>
      </c>
      <c r="S38" s="18">
        <v>117591886610.903</v>
      </c>
      <c r="T38" s="18">
        <v>39629000000</v>
      </c>
      <c r="U38" s="18">
        <v>-235073000000</v>
      </c>
      <c r="V38" s="18">
        <v>-1.6388309001922601</v>
      </c>
      <c r="W38" s="18">
        <v>-3013300000</v>
      </c>
      <c r="X38" s="18">
        <v>13.154</v>
      </c>
      <c r="Y38" s="12">
        <v>1</v>
      </c>
    </row>
    <row r="39" spans="1:25" x14ac:dyDescent="0.25">
      <c r="A39" s="10" t="s">
        <v>37</v>
      </c>
      <c r="B39" s="6">
        <v>10.070215468748099</v>
      </c>
      <c r="C39" s="8">
        <v>11.7083333333333</v>
      </c>
      <c r="D39" s="7">
        <v>7.0776085606060599</v>
      </c>
      <c r="E39" s="7">
        <v>2.2120488860456602</v>
      </c>
      <c r="F39" s="7">
        <v>25.606680539291787</v>
      </c>
      <c r="G39" s="16">
        <v>-28.228928531478203</v>
      </c>
      <c r="H39" s="18">
        <v>75.44264837518638</v>
      </c>
      <c r="I39" s="18">
        <v>-5954500000.000001</v>
      </c>
      <c r="J39" s="18">
        <v>6002943603</v>
      </c>
      <c r="K39" s="18">
        <v>-8.431924882629108</v>
      </c>
      <c r="L39" s="18">
        <v>14.002076783865183</v>
      </c>
      <c r="M39" s="18">
        <v>-4359500000</v>
      </c>
      <c r="N39" s="18">
        <v>2.9159118798574752</v>
      </c>
      <c r="O39" s="18">
        <v>121902998565.27977</v>
      </c>
      <c r="P39" s="18">
        <v>10.070215468748099</v>
      </c>
      <c r="Q39" s="18">
        <v>16.774446009389671</v>
      </c>
      <c r="R39" s="18">
        <v>-4456700000</v>
      </c>
      <c r="S39" s="18">
        <v>84396956980.694305</v>
      </c>
      <c r="T39" s="18">
        <v>52921000000</v>
      </c>
      <c r="U39" s="18">
        <v>-234890400000</v>
      </c>
      <c r="V39" s="18">
        <v>-1.63117659091949</v>
      </c>
      <c r="W39" s="18">
        <v>2111600000</v>
      </c>
      <c r="X39" s="18">
        <v>13.105</v>
      </c>
      <c r="Y39" s="12">
        <v>0</v>
      </c>
    </row>
    <row r="40" spans="1:25" x14ac:dyDescent="0.25">
      <c r="A40" s="10" t="s">
        <v>38</v>
      </c>
      <c r="B40" s="6">
        <v>10.370490343517</v>
      </c>
      <c r="C40" s="8">
        <v>11.625</v>
      </c>
      <c r="D40" s="7">
        <v>7.6912583333333302</v>
      </c>
      <c r="E40" s="7">
        <v>2.5970750547482946</v>
      </c>
      <c r="F40" s="7">
        <v>26.316393760304962</v>
      </c>
      <c r="G40" s="16">
        <v>-120.39779470944731</v>
      </c>
      <c r="H40" s="18">
        <v>77.985877891697697</v>
      </c>
      <c r="I40" s="18">
        <v>-17243300000</v>
      </c>
      <c r="J40" s="18">
        <v>3782495128.6999998</v>
      </c>
      <c r="K40" s="18">
        <v>-8.4782519743033671</v>
      </c>
      <c r="L40" s="18">
        <v>15.409091079937939</v>
      </c>
      <c r="M40" s="18">
        <v>-6743500000</v>
      </c>
      <c r="N40" s="18">
        <v>4.3720190779014132</v>
      </c>
      <c r="O40" s="18">
        <v>120647641509.43396</v>
      </c>
      <c r="P40" s="18">
        <v>10.370490343517</v>
      </c>
      <c r="Q40" s="18">
        <v>16.697446704038626</v>
      </c>
      <c r="R40" s="18">
        <v>-22162300000</v>
      </c>
      <c r="S40" s="18">
        <v>-17215118025.9426</v>
      </c>
      <c r="T40" s="18">
        <v>61750000000</v>
      </c>
      <c r="U40" s="18">
        <v>-262171000000</v>
      </c>
      <c r="V40" s="18">
        <v>-1.4993321895599401</v>
      </c>
      <c r="W40" s="18">
        <v>-71300000</v>
      </c>
      <c r="X40" s="18">
        <v>13.052</v>
      </c>
      <c r="Y40" s="12">
        <v>0</v>
      </c>
    </row>
    <row r="41" spans="1:25" x14ac:dyDescent="0.25">
      <c r="A41" s="10" t="s">
        <v>39</v>
      </c>
      <c r="B41" s="6">
        <v>13.813606214829001</v>
      </c>
      <c r="C41" s="8">
        <v>13.6</v>
      </c>
      <c r="D41" s="7">
        <v>10.0254007885465</v>
      </c>
      <c r="E41" s="7">
        <v>3.8854106958735026</v>
      </c>
      <c r="F41" s="7">
        <v>34.134862625263935</v>
      </c>
      <c r="G41" s="16">
        <v>1086.3892820142316</v>
      </c>
      <c r="H41" s="18">
        <v>98.136132366497023</v>
      </c>
      <c r="I41" s="18">
        <v>-20493900000</v>
      </c>
      <c r="J41" s="18">
        <v>6635327342.8000002</v>
      </c>
      <c r="K41" s="18">
        <v>-9.5556211707389096</v>
      </c>
      <c r="L41" s="18">
        <v>21.095988444652249</v>
      </c>
      <c r="M41" s="18">
        <v>-7900200000</v>
      </c>
      <c r="N41" s="18">
        <v>4.3466434555544708</v>
      </c>
      <c r="O41" s="18">
        <v>107897128834.35582</v>
      </c>
      <c r="P41" s="18">
        <v>13.813606214829001</v>
      </c>
      <c r="Q41" s="18">
        <v>16.841326492950468</v>
      </c>
      <c r="R41" s="18">
        <v>-25130300000</v>
      </c>
      <c r="S41" s="18">
        <v>-204238315145.883</v>
      </c>
      <c r="T41" s="18">
        <f>AVERAGE(T20:T40)</f>
        <v>24471629801.488094</v>
      </c>
      <c r="U41" s="18">
        <f>AVERAGE(U20:U40)</f>
        <v>-68897682536.011902</v>
      </c>
      <c r="V41" s="18">
        <v>-1.4397268295288099</v>
      </c>
      <c r="W41" s="18">
        <v>-736100000</v>
      </c>
      <c r="X41" s="18">
        <v>12.45</v>
      </c>
      <c r="Y41" s="12">
        <v>1</v>
      </c>
    </row>
    <row r="42" spans="1:25" x14ac:dyDescent="0.25">
      <c r="A42" s="10" t="s">
        <v>40</v>
      </c>
      <c r="B42" s="6">
        <v>29.506608394003901</v>
      </c>
      <c r="C42" s="8">
        <v>18.175000000000001</v>
      </c>
      <c r="D42" s="7">
        <v>17.782533515063601</v>
      </c>
      <c r="E42" s="7">
        <v>5.7230611185562728</v>
      </c>
      <c r="F42" s="7">
        <v>27.069824673725428</v>
      </c>
      <c r="G42" s="16">
        <v>-204.63880624979538</v>
      </c>
      <c r="H42" s="18">
        <v>87.602467872187418</v>
      </c>
      <c r="I42" s="18">
        <v>-7939700000</v>
      </c>
      <c r="J42" s="18">
        <v>6706042603.3999996</v>
      </c>
      <c r="K42" s="18">
        <v>-12.803960721026286</v>
      </c>
      <c r="L42" s="18">
        <v>34.696101857475846</v>
      </c>
      <c r="M42" s="18">
        <v>-7209700000</v>
      </c>
      <c r="N42" s="18">
        <v>4.181220999947783</v>
      </c>
      <c r="O42" s="18">
        <v>85426530570.652176</v>
      </c>
      <c r="P42" s="18">
        <v>29.506608394003901</v>
      </c>
      <c r="Q42" s="18">
        <v>16.593520610519981</v>
      </c>
      <c r="R42" s="18">
        <v>-11729700000</v>
      </c>
      <c r="S42" s="18">
        <v>213712534873.34702</v>
      </c>
      <c r="T42" s="18">
        <f t="shared" ref="T42:U45" si="3">AVERAGE(T21:T41)</f>
        <v>25228088363.463718</v>
      </c>
      <c r="U42" s="18">
        <f t="shared" si="3"/>
        <v>-72512857894.869614</v>
      </c>
      <c r="V42" s="18">
        <v>-1.4296458959579501</v>
      </c>
      <c r="W42" s="18">
        <v>-23889900000</v>
      </c>
      <c r="X42" s="18">
        <v>11.766999999999999</v>
      </c>
      <c r="Y42" s="12">
        <v>0</v>
      </c>
    </row>
    <row r="43" spans="1:25" x14ac:dyDescent="0.25">
      <c r="A43" s="10" t="s">
        <v>41</v>
      </c>
      <c r="B43" s="6">
        <v>14.4014657807422</v>
      </c>
      <c r="C43" s="8">
        <v>18.316666666666698</v>
      </c>
      <c r="D43" s="7">
        <v>17.767290421810699</v>
      </c>
      <c r="E43" s="7">
        <v>5.8573427040128374</v>
      </c>
      <c r="F43" s="7">
        <v>24.29527907076422</v>
      </c>
      <c r="G43" s="16">
        <v>-40.306394634759386</v>
      </c>
      <c r="H43" s="18">
        <v>77.765221186772962</v>
      </c>
      <c r="I43" s="18">
        <v>-7698166088.3333273</v>
      </c>
      <c r="J43" s="18">
        <v>8573997535.6000004</v>
      </c>
      <c r="K43" s="18">
        <v>-9.9417084565599421</v>
      </c>
      <c r="L43" s="18">
        <v>38.803612383784326</v>
      </c>
      <c r="M43" s="18">
        <v>-7817811000</v>
      </c>
      <c r="N43" s="18">
        <v>5.3311086189447963</v>
      </c>
      <c r="O43" s="18">
        <v>92772235790.658417</v>
      </c>
      <c r="P43" s="18">
        <v>14.4014657807422</v>
      </c>
      <c r="Q43" s="18">
        <v>16.350889588958893</v>
      </c>
      <c r="R43" s="18">
        <v>-9427099000</v>
      </c>
      <c r="S43" s="18">
        <v>127572717183.34799</v>
      </c>
      <c r="T43" s="18">
        <f t="shared" si="3"/>
        <v>25996092571.247707</v>
      </c>
      <c r="U43" s="18">
        <f t="shared" si="3"/>
        <v>-75812851127.958649</v>
      </c>
      <c r="V43" s="18">
        <v>-1.18812155723572</v>
      </c>
      <c r="W43" s="18">
        <v>1910701000</v>
      </c>
      <c r="X43" s="18">
        <v>9.8550000000000004</v>
      </c>
      <c r="Y43" s="12">
        <v>0</v>
      </c>
    </row>
    <row r="44" spans="1:25" x14ac:dyDescent="0.25">
      <c r="A44" s="10" t="s">
        <v>42</v>
      </c>
      <c r="B44" s="6">
        <v>9.1527995932480408</v>
      </c>
      <c r="C44" s="8">
        <v>16.116666666666699</v>
      </c>
      <c r="D44" s="7">
        <v>16.7705818428763</v>
      </c>
      <c r="E44" s="7">
        <v>5.8392394744023592</v>
      </c>
      <c r="F44" s="7">
        <v>22.848730897276269</v>
      </c>
      <c r="G44" s="16">
        <v>173.18012595038226</v>
      </c>
      <c r="H44" s="18">
        <v>73.45453034494156</v>
      </c>
      <c r="I44" s="18">
        <v>-10221895259.08333</v>
      </c>
      <c r="J44" s="18">
        <v>9047989793.7999992</v>
      </c>
      <c r="K44" s="18">
        <v>-7.8359542530378841</v>
      </c>
      <c r="L44" s="18">
        <v>37.348637713716471</v>
      </c>
      <c r="M44" s="18">
        <v>-8605068000</v>
      </c>
      <c r="N44" s="18">
        <v>5.5520930715695584</v>
      </c>
      <c r="O44" s="18">
        <v>114168038154.89751</v>
      </c>
      <c r="P44" s="18">
        <v>9.1527995932480408</v>
      </c>
      <c r="Q44" s="18">
        <v>15.98829896354539</v>
      </c>
      <c r="R44" s="18">
        <v>-11060708000</v>
      </c>
      <c r="S44" s="18">
        <v>348503309479.79498</v>
      </c>
      <c r="T44" s="18">
        <f t="shared" si="3"/>
        <v>26736954122.259502</v>
      </c>
      <c r="U44" s="18">
        <f t="shared" si="3"/>
        <v>-79216844038.813828</v>
      </c>
      <c r="V44" s="18">
        <v>-1.1246308088302599</v>
      </c>
      <c r="W44" s="18">
        <v>-10454410000</v>
      </c>
      <c r="X44" s="18">
        <v>7.851</v>
      </c>
      <c r="Y44" s="12">
        <v>0</v>
      </c>
    </row>
    <row r="45" spans="1:25" x14ac:dyDescent="0.25">
      <c r="A45" s="10" t="s">
        <v>43</v>
      </c>
      <c r="B45" s="6">
        <v>5.0449328897753896</v>
      </c>
      <c r="C45" s="8">
        <v>11.366666666666699</v>
      </c>
      <c r="D45" s="7">
        <v>15.759172916666699</v>
      </c>
      <c r="E45" s="7">
        <v>5.5647345143089595</v>
      </c>
      <c r="F45" s="7">
        <v>25.789474254786594</v>
      </c>
      <c r="G45" s="16">
        <v>-22.383741437034658</v>
      </c>
      <c r="H45" s="18">
        <v>79.974724927084822</v>
      </c>
      <c r="I45" s="18">
        <v>-14235956908.69166</v>
      </c>
      <c r="J45" s="18">
        <v>12445712109</v>
      </c>
      <c r="K45" s="18">
        <v>-7.1807040925787478</v>
      </c>
      <c r="L45" s="18">
        <v>35.584317823570572</v>
      </c>
      <c r="M45" s="18">
        <v>-5525300000</v>
      </c>
      <c r="N45" s="18">
        <v>3.5501648378683797</v>
      </c>
      <c r="O45" s="18">
        <v>124239702432.93823</v>
      </c>
      <c r="P45" s="18">
        <v>5.0449328897753896</v>
      </c>
      <c r="Q45" s="18">
        <v>16.380456067353638</v>
      </c>
      <c r="R45" s="18">
        <v>-17086856167.775</v>
      </c>
      <c r="S45" s="18">
        <v>270495229786.32898</v>
      </c>
      <c r="T45" s="18">
        <f t="shared" si="3"/>
        <v>27878016223.319481</v>
      </c>
      <c r="U45" s="18">
        <f>AVERAGE(U24:U44)</f>
        <v>-82990738993.043045</v>
      </c>
      <c r="V45" s="18">
        <v>-1.1819328069686901</v>
      </c>
      <c r="W45" s="18">
        <v>-1015219999.999999</v>
      </c>
      <c r="X45" s="18">
        <v>7.9740000000000002</v>
      </c>
      <c r="Y45" s="12">
        <v>0</v>
      </c>
    </row>
    <row r="46" spans="1:25" x14ac:dyDescent="0.25">
      <c r="A46" s="10" t="s">
        <v>44</v>
      </c>
      <c r="B46" s="6">
        <v>5.2140494051304298</v>
      </c>
      <c r="C46" s="8">
        <v>9.4250000000000007</v>
      </c>
      <c r="D46" s="7">
        <v>15.644527277711299</v>
      </c>
      <c r="E46" s="7">
        <v>4.3822564342772798</v>
      </c>
      <c r="F46" s="7">
        <v>28.230754389427748</v>
      </c>
      <c r="G46" s="16">
        <v>-85.88423137808833</v>
      </c>
      <c r="H46" s="18">
        <v>87.386494073479611</v>
      </c>
      <c r="I46" s="18">
        <v>-18610828181.499981</v>
      </c>
      <c r="J46" s="18">
        <v>18433719360.400002</v>
      </c>
      <c r="K46" s="18">
        <v>-8.7346730500817937</v>
      </c>
      <c r="L46" s="18">
        <v>35.413059925178693</v>
      </c>
      <c r="M46" s="18">
        <v>-4755300000</v>
      </c>
      <c r="N46" s="18">
        <v>3.2906460120221084</v>
      </c>
      <c r="O46" s="18">
        <v>132445083492.6705</v>
      </c>
      <c r="P46" s="18">
        <v>5.2140494051304298</v>
      </c>
      <c r="Q46" s="18">
        <v>15.485283876874128</v>
      </c>
      <c r="R46" s="18">
        <v>-25407868000</v>
      </c>
      <c r="S46" s="18">
        <v>38182480769.946503</v>
      </c>
      <c r="T46" s="18">
        <f>AVERAGE(T25:T45)</f>
        <v>29067474972.048981</v>
      </c>
      <c r="U46" s="18">
        <f t="shared" ref="U46:U48" si="4">AVERAGE(U25:U45)</f>
        <v>-86945528826.04509</v>
      </c>
      <c r="V46" s="18">
        <v>-1.0328643321991</v>
      </c>
      <c r="W46" s="18">
        <v>-5972418000</v>
      </c>
      <c r="X46" s="18">
        <v>7.4409999999999998</v>
      </c>
      <c r="Y46" s="12">
        <v>0</v>
      </c>
    </row>
    <row r="47" spans="1:25" x14ac:dyDescent="0.25">
      <c r="A47" s="10" t="s">
        <v>45</v>
      </c>
      <c r="B47" s="6">
        <v>13.895660977517799</v>
      </c>
      <c r="C47" s="8">
        <v>10.5833333333333</v>
      </c>
      <c r="D47" s="7">
        <v>19.160439741220401</v>
      </c>
      <c r="E47" s="7">
        <v>3.3273814636950219</v>
      </c>
      <c r="F47" s="7">
        <v>30.84700211667198</v>
      </c>
      <c r="G47" s="16">
        <v>-1448.8571190165978</v>
      </c>
      <c r="H47" s="18">
        <v>94.39260975230934</v>
      </c>
      <c r="I47" s="18">
        <v>-10536555731.200001</v>
      </c>
      <c r="J47" s="18">
        <v>17947260436.599998</v>
      </c>
      <c r="K47" s="18">
        <v>-6.8090532355753908</v>
      </c>
      <c r="L47" s="18">
        <v>35.379161164513143</v>
      </c>
      <c r="M47" s="18">
        <v>-11058100000</v>
      </c>
      <c r="N47" s="18">
        <v>6.5878456088696709</v>
      </c>
      <c r="O47" s="18">
        <v>155951003647.41641</v>
      </c>
      <c r="P47" s="18">
        <v>13.895660977517799</v>
      </c>
      <c r="Q47" s="18">
        <v>15.970532228243545</v>
      </c>
      <c r="R47" s="18">
        <v>-13100316959</v>
      </c>
      <c r="S47" s="18">
        <v>-515027110082.56696</v>
      </c>
      <c r="T47" s="18">
        <f t="shared" ref="T47:T49" si="5">AVERAGE(T26:T46)</f>
        <v>30307745131.432262</v>
      </c>
      <c r="U47" s="18">
        <f t="shared" si="4"/>
        <v>-91089572573.713913</v>
      </c>
      <c r="V47" s="18">
        <v>-0.97870057821273804</v>
      </c>
      <c r="W47" s="18">
        <v>21724963041</v>
      </c>
      <c r="X47" s="18">
        <v>7.3440000000000003</v>
      </c>
      <c r="Y47" s="12">
        <v>1</v>
      </c>
    </row>
    <row r="48" spans="1:25" x14ac:dyDescent="0.25">
      <c r="A48" s="10" t="s">
        <v>46</v>
      </c>
      <c r="B48" s="6">
        <v>33.884776311554603</v>
      </c>
      <c r="C48" s="8">
        <v>17.758333333333301</v>
      </c>
      <c r="D48" s="7">
        <v>30.626413698031101</v>
      </c>
      <c r="E48" s="7">
        <v>3.8739099200178129</v>
      </c>
      <c r="F48" s="7">
        <v>29.257821539346363</v>
      </c>
      <c r="G48" s="16">
        <v>69.935500877674642</v>
      </c>
      <c r="H48" s="18">
        <v>87.417469082208086</v>
      </c>
      <c r="I48" s="18">
        <v>-12564268977.383341</v>
      </c>
      <c r="J48" s="18">
        <v>21388660501.200001</v>
      </c>
      <c r="K48" s="18">
        <v>-2.2382180908679126</v>
      </c>
      <c r="L48" s="18">
        <v>44.380606905961585</v>
      </c>
      <c r="M48" s="18">
        <v>-9450200000</v>
      </c>
      <c r="N48" s="18">
        <v>3.7602805227924705</v>
      </c>
      <c r="O48" s="18">
        <v>129604323100.52292</v>
      </c>
      <c r="P48" s="18">
        <v>33.884776311554603</v>
      </c>
      <c r="Q48" s="18">
        <v>15.063909841069774</v>
      </c>
      <c r="R48" s="18">
        <v>-14709200000</v>
      </c>
      <c r="S48" s="18">
        <v>-875213899174.62292</v>
      </c>
      <c r="T48" s="18">
        <f t="shared" si="5"/>
        <v>31600723865.964745</v>
      </c>
      <c r="U48" s="18">
        <f t="shared" si="4"/>
        <v>-95433293142.402664</v>
      </c>
      <c r="V48" s="18">
        <v>-0.86676430702209495</v>
      </c>
      <c r="W48" s="18">
        <v>908300000</v>
      </c>
      <c r="X48" s="18">
        <v>6.7530000000000001</v>
      </c>
      <c r="Y48" s="12">
        <v>1</v>
      </c>
    </row>
    <row r="49" spans="1:25" x14ac:dyDescent="0.25">
      <c r="A49" s="10" t="s">
        <v>47</v>
      </c>
      <c r="B49" s="6">
        <v>28.270589932208299</v>
      </c>
      <c r="C49" s="8">
        <v>24.2916666666667</v>
      </c>
      <c r="D49" s="7">
        <v>45.299259999999997</v>
      </c>
      <c r="E49" s="4"/>
      <c r="F49" s="7">
        <v>27.569227972914856</v>
      </c>
      <c r="G49" s="16">
        <v>-117.56436986671</v>
      </c>
      <c r="H49" s="18">
        <v>83.699369639346187</v>
      </c>
      <c r="I49" s="18" t="s">
        <v>71</v>
      </c>
      <c r="J49" s="18" t="s">
        <v>71</v>
      </c>
      <c r="K49" s="18">
        <v>-6.84826766714811</v>
      </c>
      <c r="L49" s="18" t="s">
        <v>71</v>
      </c>
      <c r="M49" s="18" t="s">
        <v>71</v>
      </c>
      <c r="N49" s="18">
        <v>2.3991692678251013</v>
      </c>
      <c r="O49" s="18">
        <v>126687551805.48483</v>
      </c>
      <c r="P49" s="18">
        <v>28.270589932208299</v>
      </c>
      <c r="Q49" s="18">
        <v>13.893461529608764</v>
      </c>
      <c r="R49" s="18" t="s">
        <v>71</v>
      </c>
      <c r="S49" s="18">
        <v>153725806375.88501</v>
      </c>
      <c r="T49" s="18">
        <f t="shared" si="5"/>
        <v>32229186907.20116</v>
      </c>
      <c r="U49" s="18" t="s">
        <v>71</v>
      </c>
      <c r="V49" s="18">
        <v>-0.75482803583145197</v>
      </c>
      <c r="W49" s="18">
        <v>908300000</v>
      </c>
      <c r="X49" s="18">
        <v>7.7530000000000001</v>
      </c>
      <c r="Y49" s="12">
        <v>0</v>
      </c>
    </row>
    <row r="68" spans="1:59" ht="14.4" customHeight="1" x14ac:dyDescent="0.25"/>
    <row r="71" spans="1:59" x14ac:dyDescent="0.25">
      <c r="A71" s="11"/>
      <c r="B71" s="14"/>
      <c r="C71" s="3"/>
      <c r="D71" s="3"/>
      <c r="E71" s="3"/>
      <c r="F71" s="5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</row>
    <row r="72" spans="1:59" x14ac:dyDescent="0.25">
      <c r="B72" s="14"/>
    </row>
    <row r="73" spans="1:59" x14ac:dyDescent="0.25">
      <c r="B73" s="14"/>
    </row>
    <row r="74" spans="1:59" x14ac:dyDescent="0.25">
      <c r="B74" s="14"/>
    </row>
    <row r="75" spans="1:59" x14ac:dyDescent="0.25">
      <c r="B75" s="14"/>
    </row>
    <row r="76" spans="1:59" x14ac:dyDescent="0.25">
      <c r="B76" s="14"/>
    </row>
    <row r="77" spans="1:59" x14ac:dyDescent="0.25">
      <c r="B77" s="14"/>
    </row>
    <row r="78" spans="1:59" x14ac:dyDescent="0.25">
      <c r="B78" s="14"/>
    </row>
    <row r="79" spans="1:59" x14ac:dyDescent="0.25">
      <c r="B79" s="14"/>
    </row>
    <row r="80" spans="1:59" x14ac:dyDescent="0.25">
      <c r="B80" s="14"/>
    </row>
    <row r="81" spans="2:2" x14ac:dyDescent="0.25">
      <c r="B81" s="14"/>
    </row>
    <row r="82" spans="2:2" x14ac:dyDescent="0.25">
      <c r="B82" s="14"/>
    </row>
    <row r="83" spans="2:2" x14ac:dyDescent="0.25">
      <c r="B83" s="14"/>
    </row>
    <row r="84" spans="2:2" x14ac:dyDescent="0.25">
      <c r="B84" s="14"/>
    </row>
    <row r="85" spans="2:2" x14ac:dyDescent="0.25">
      <c r="B85" s="14"/>
    </row>
    <row r="86" spans="2:2" x14ac:dyDescent="0.25">
      <c r="B86" s="14"/>
    </row>
    <row r="87" spans="2:2" x14ac:dyDescent="0.25">
      <c r="B87" s="14"/>
    </row>
    <row r="88" spans="2:2" x14ac:dyDescent="0.25">
      <c r="B88" s="14"/>
    </row>
    <row r="89" spans="2:2" x14ac:dyDescent="0.25">
      <c r="B89" s="14"/>
    </row>
    <row r="90" spans="2:2" x14ac:dyDescent="0.25">
      <c r="B90" s="14"/>
    </row>
    <row r="91" spans="2:2" x14ac:dyDescent="0.25">
      <c r="B91" s="14"/>
    </row>
    <row r="92" spans="2:2" x14ac:dyDescent="0.25">
      <c r="B92" s="14"/>
    </row>
    <row r="93" spans="2:2" x14ac:dyDescent="0.25">
      <c r="B93" s="14"/>
    </row>
    <row r="94" spans="2:2" x14ac:dyDescent="0.25">
      <c r="B94" s="14"/>
    </row>
    <row r="95" spans="2:2" x14ac:dyDescent="0.25">
      <c r="B95" s="14"/>
    </row>
    <row r="96" spans="2:2" x14ac:dyDescent="0.25">
      <c r="B96" s="14"/>
    </row>
    <row r="97" spans="2:2" x14ac:dyDescent="0.25">
      <c r="B97" s="14"/>
    </row>
    <row r="98" spans="2:2" x14ac:dyDescent="0.25">
      <c r="B98" s="14"/>
    </row>
    <row r="99" spans="2:2" x14ac:dyDescent="0.25">
      <c r="B99" s="14"/>
    </row>
    <row r="100" spans="2:2" x14ac:dyDescent="0.25">
      <c r="B100" s="14"/>
    </row>
    <row r="101" spans="2:2" x14ac:dyDescent="0.25">
      <c r="B101" s="14"/>
    </row>
    <row r="102" spans="2:2" x14ac:dyDescent="0.25">
      <c r="B102" s="14"/>
    </row>
    <row r="103" spans="2:2" x14ac:dyDescent="0.25">
      <c r="B103" s="14"/>
    </row>
    <row r="104" spans="2:2" x14ac:dyDescent="0.25">
      <c r="B104" s="14"/>
    </row>
    <row r="105" spans="2:2" x14ac:dyDescent="0.25">
      <c r="B105" s="14"/>
    </row>
    <row r="106" spans="2:2" x14ac:dyDescent="0.25">
      <c r="B106" s="14"/>
    </row>
    <row r="107" spans="2:2" x14ac:dyDescent="0.25">
      <c r="B107" s="14"/>
    </row>
    <row r="108" spans="2:2" x14ac:dyDescent="0.25">
      <c r="B108" s="14"/>
    </row>
    <row r="109" spans="2:2" x14ac:dyDescent="0.25">
      <c r="B109" s="14"/>
    </row>
    <row r="110" spans="2:2" x14ac:dyDescent="0.25">
      <c r="B110" s="14"/>
    </row>
    <row r="111" spans="2:2" x14ac:dyDescent="0.25">
      <c r="B111" s="14"/>
    </row>
    <row r="112" spans="2:2" x14ac:dyDescent="0.25">
      <c r="B112" s="14"/>
    </row>
    <row r="113" spans="2:2" x14ac:dyDescent="0.25">
      <c r="B113" s="14"/>
    </row>
    <row r="114" spans="2:2" x14ac:dyDescent="0.25">
      <c r="B114" s="14"/>
    </row>
    <row r="115" spans="2:2" x14ac:dyDescent="0.25">
      <c r="B115" s="14"/>
    </row>
    <row r="116" spans="2:2" x14ac:dyDescent="0.25">
      <c r="B116" s="14"/>
    </row>
    <row r="117" spans="2:2" x14ac:dyDescent="0.25">
      <c r="B117" s="14"/>
    </row>
    <row r="118" spans="2:2" x14ac:dyDescent="0.25">
      <c r="B118" s="14"/>
    </row>
    <row r="119" spans="2:2" x14ac:dyDescent="0.25">
      <c r="B119" s="14"/>
    </row>
    <row r="120" spans="2:2" x14ac:dyDescent="0.25">
      <c r="B120" s="14"/>
    </row>
    <row r="121" spans="2:2" x14ac:dyDescent="0.25">
      <c r="B121" s="14"/>
    </row>
    <row r="122" spans="2:2" x14ac:dyDescent="0.25">
      <c r="B122" s="14"/>
    </row>
    <row r="123" spans="2:2" x14ac:dyDescent="0.25">
      <c r="B123" s="14"/>
    </row>
    <row r="124" spans="2:2" x14ac:dyDescent="0.25">
      <c r="B124" s="14"/>
    </row>
    <row r="125" spans="2:2" x14ac:dyDescent="0.25">
      <c r="B125" s="14"/>
    </row>
    <row r="126" spans="2:2" x14ac:dyDescent="0.25">
      <c r="B126" s="14"/>
    </row>
    <row r="127" spans="2:2" x14ac:dyDescent="0.25">
      <c r="B127" s="14"/>
    </row>
    <row r="128" spans="2:2" x14ac:dyDescent="0.25">
      <c r="B128" s="14"/>
    </row>
    <row r="129" spans="2:2" x14ac:dyDescent="0.25">
      <c r="B129" s="14"/>
    </row>
    <row r="130" spans="2:2" x14ac:dyDescent="0.25">
      <c r="B130" s="14"/>
    </row>
    <row r="131" spans="2:2" x14ac:dyDescent="0.25">
      <c r="B131" s="14"/>
    </row>
    <row r="132" spans="2:2" x14ac:dyDescent="0.25">
      <c r="B132" s="14"/>
    </row>
    <row r="133" spans="2:2" x14ac:dyDescent="0.25">
      <c r="B133" s="14"/>
    </row>
    <row r="134" spans="2:2" x14ac:dyDescent="0.25">
      <c r="B134" s="14"/>
    </row>
    <row r="135" spans="2:2" x14ac:dyDescent="0.25">
      <c r="B135" s="15"/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fawzy</dc:creator>
  <cp:lastModifiedBy>mohamed fawzy</cp:lastModifiedBy>
  <dcterms:created xsi:type="dcterms:W3CDTF">2025-08-21T06:06:43Z</dcterms:created>
  <dcterms:modified xsi:type="dcterms:W3CDTF">2025-09-24T14:08:21Z</dcterms:modified>
</cp:coreProperties>
</file>